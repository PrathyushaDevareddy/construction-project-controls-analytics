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f7bfef5f7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bf74ae3713b4968"/>
    <x:sheet xmlns:r="http://schemas.openxmlformats.org/officeDocument/2006/relationships" name="Projects" sheetId="2" r:id="R45c15990ea64461d"/>
    <x:sheet xmlns:r="http://schemas.openxmlformats.org/officeDocument/2006/relationships" name="Schedule" sheetId="3" r:id="Rc3992dac2c87489a"/>
    <x:sheet xmlns:r="http://schemas.openxmlformats.org/officeDocument/2006/relationships" name="Cost" sheetId="4" r:id="Rf22d38e5dc794750"/>
    <x:sheet xmlns:r="http://schemas.openxmlformats.org/officeDocument/2006/relationships" name="Resources" sheetId="5" r:id="R0c6f2db0ba154a27"/>
    <x:sheet xmlns:r="http://schemas.openxmlformats.org/officeDocument/2006/relationships" name="Procurement" sheetId="6" r:id="Rf6b11440df1f40d2"/>
    <x:sheet xmlns:r="http://schemas.openxmlformats.org/officeDocument/2006/relationships" name="SQL_Practice" sheetId="7" r:id="Rd58615068d2b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yyyy-mm-dd"/>
    <x:numFmt numFmtId="202" formatCode="0%"/>
    <x:numFmt numFmtId="203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44546A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2" fontId="1" fillId="2" borderId="0" xfId="0" applyNumberFormat="1" applyFont="1" applyFill="1" applyBorder="1"/>
    <x:xf numFmtId="203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57eef3733475c" /><Relationship Type="http://schemas.openxmlformats.org/officeDocument/2006/relationships/theme" Target="/xl/theme/theme1.xml" Id="Rd54a806c6c044a39" /><Relationship Type="http://schemas.openxmlformats.org/officeDocument/2006/relationships/sharedStrings" Target="/xl/sharedStrings.xml" Id="R531faca8c3fd49fd" /><Relationship Type="http://schemas.openxmlformats.org/officeDocument/2006/relationships/worksheet" Target="/xl/worksheets/sheet1.xml" Id="Rfbf74ae3713b4968" /><Relationship Type="http://schemas.openxmlformats.org/officeDocument/2006/relationships/worksheet" Target="/xl/worksheets/sheet2.xml" Id="R45c15990ea64461d" /><Relationship Type="http://schemas.openxmlformats.org/officeDocument/2006/relationships/worksheet" Target="/xl/worksheets/sheet3.xml" Id="Rc3992dac2c87489a" /><Relationship Type="http://schemas.openxmlformats.org/officeDocument/2006/relationships/worksheet" Target="/xl/worksheets/sheet4.xml" Id="Rf22d38e5dc794750" /><Relationship Type="http://schemas.openxmlformats.org/officeDocument/2006/relationships/worksheet" Target="/xl/worksheets/sheet5.xml" Id="R0c6f2db0ba154a27" /><Relationship Type="http://schemas.openxmlformats.org/officeDocument/2006/relationships/worksheet" Target="/xl/worksheets/sheet6.xml" Id="Rf6b11440df1f40d2" /><Relationship Type="http://schemas.openxmlformats.org/officeDocument/2006/relationships/worksheet" Target="/xl/worksheets/sheet7.xml" Id="Rd58615068d2b45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6a0db69c3141c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vs Actual Cost by Discipline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Planned Cost</c:v>
          </c:tx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'Dashboard'!$B$14:$B$19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Actual Cost</c:v>
          </c:tx>
          <c:cat>
            <c:strRef>
              <c:f>'Dashboard'!$A$14:$A$19</c:f>
              <c:strCache>
                <c:ptCount val="0"/>
              </c:strCache>
            </c:strRef>
          </c:cat>
          <c:val>
            <c:numRef>
              <c:f>'Dashboard'!$C$14:$C$19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6a0db69c3141c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sTable" displayName="ProjectsTable" ref="A1:H5" headerRowCount="1">
  <x:tableColumns count="8">
    <x:tableColumn id="1" name="project_id"/>
    <x:tableColumn id="2" name="project_name"/>
    <x:tableColumn id="3" name="location"/>
    <x:tableColumn id="4" name="project_type"/>
    <x:tableColumn id="5" name="status"/>
    <x:tableColumn id="6" name="start_date"/>
    <x:tableColumn id="7" name="planned_finish_date"/>
    <x:tableColumn id="8" name="baseline_budget"/>
  </x:tableColumns>
  <x:tableStyleInfo name="TableStyleMedium2" showRowStripes="1"/>
</x:table>
</file>

<file path=xl/tables/table2.xml><?xml version="1.0" encoding="utf-8"?>
<x:table xmlns:x="http://schemas.openxmlformats.org/spreadsheetml/2006/main" id="2" name="ScheduleTable" displayName="ScheduleTable" ref="A1:I121" headerRowCount="1">
  <x:tableColumns count="9">
    <x:tableColumn id="1" name="task_id"/>
    <x:tableColumn id="2" name="project_id"/>
    <x:tableColumn id="3" name="task_name"/>
    <x:tableColumn id="4" name="discipline"/>
    <x:tableColumn id="5" name="planned_start"/>
    <x:tableColumn id="6" name="planned_finish"/>
    <x:tableColumn id="7" name="actual_finish"/>
    <x:tableColumn id="8" name="percent_complete"/>
    <x:tableColumn id="9" name="task_status"/>
  </x:tableColumns>
  <x:tableStyleInfo name="TableStyleMedium2" showRowStripes="1"/>
</x:table>
</file>

<file path=xl/tables/table3.xml><?xml version="1.0" encoding="utf-8"?>
<x:table xmlns:x="http://schemas.openxmlformats.org/spreadsheetml/2006/main" id="3" name="CostTable" displayName="CostTable" ref="A1:F121" headerRowCount="1">
  <x:tableColumns count="6">
    <x:tableColumn id="1" name="project_id"/>
    <x:tableColumn id="2" name="task_id"/>
    <x:tableColumn id="3" name="cost_category"/>
    <x:tableColumn id="4" name="planned_cost"/>
    <x:tableColumn id="5" name="actual_cost"/>
    <x:tableColumn id="6" name="cost_variance"/>
  </x:tableColumns>
  <x:tableStyleInfo name="TableStyleMedium2" showRowStripes="1"/>
</x:table>
</file>

<file path=xl/tables/table4.xml><?xml version="1.0" encoding="utf-8"?>
<x:table xmlns:x="http://schemas.openxmlformats.org/spreadsheetml/2006/main" id="4" name="ResourceTable" displayName="ResourceTable" ref="A1:F121" headerRowCount="1">
  <x:tableColumns count="6">
    <x:tableColumn id="1" name="project_id"/>
    <x:tableColumn id="2" name="task_id"/>
    <x:tableColumn id="3" name="discipline"/>
    <x:tableColumn id="4" name="planned_hours"/>
    <x:tableColumn id="5" name="actual_hours"/>
    <x:tableColumn id="6" name="hour_variance"/>
  </x:tableColumns>
  <x:tableStyleInfo name="TableStyleMedium2" showRowStripes="1"/>
</x:table>
</file>

<file path=xl/tables/table5.xml><?xml version="1.0" encoding="utf-8"?>
<x:table xmlns:x="http://schemas.openxmlformats.org/spreadsheetml/2006/main" id="5" name="ProcurementTable" displayName="ProcurementTable" ref="A1:J73" headerRowCount="1">
  <x:tableColumns count="10">
    <x:tableColumn id="1" name="po_id"/>
    <x:tableColumn id="2" name="project_id"/>
    <x:tableColumn id="3" name="task_id"/>
    <x:tableColumn id="4" name="vendor"/>
    <x:tableColumn id="5" name="discipline"/>
    <x:tableColumn id="6" name="po_value"/>
    <x:tableColumn id="7" name="committed_cost"/>
    <x:tableColumn id="8" name="need_by_date"/>
    <x:tableColumn id="9" name="expected_delivery_date"/>
    <x:tableColumn id="10" name="delivery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251540e149745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789df4323542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b91dc697fb41a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809c892ce641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3f0c5ffd9a4b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7e57762dee43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7.5" hidden="0" customWidth="1"/>
    <x:col min="3" max="3" width="17.5" hidden="0" customWidth="1"/>
    <x:col min="4" max="4" width="32.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>
      <x:c r="A1" s="13" t="str">
        <x:v>Construction Project Controls Analytics Dashboard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>
      <x:c r="A2" s="8" t="str">
        <x:v>Synthetic construction dataset for Excel, SQL, Access, and Power BI portfolio practice</x:v>
      </x:c>
    </x:row>
    <x:row r="4">
      <x:c r="A4" s="10" t="str">
        <x:v>Metric</x:v>
      </x:c>
      <x:c r="B4" s="10" t="str">
        <x:v>Value</x:v>
      </x:c>
      <x:c r="C4" s="15"/>
      <x:c r="D4" s="2" t="str">
        <x:v>Project</x:v>
      </x:c>
      <x:c r="E4" s="2" t="str">
        <x:v>Budget</x:v>
      </x:c>
      <x:c r="F4" s="2" t="str">
        <x:v>Actual Cost</x:v>
      </x:c>
      <x:c r="G4" s="2" t="str">
        <x:v>Variance</x:v>
      </x:c>
      <x:c r="H4" s="2" t="str">
        <x:v>Risk Flag</x:v>
      </x:c>
    </x:row>
    <x:row r="5">
      <x:c r="A5" s="15" t="str">
        <x:v>Total Baseline Budget</x:v>
      </x:c>
      <x:c r="B5" s="11" t="n">
        <x:f>SUM(Projects!H2:H5)</x:f>
        <x:v>32025000</x:v>
      </x:c>
      <x:c r="C5" s="15"/>
      <x:c r="D5" s="15" t="str">
        <x:f>Projects!B2</x:f>
        <x:v>Fab Tool Install - North Bay</x:v>
      </x:c>
      <x:c r="E5" s="11" t="n">
        <x:f>Projects!H2</x:f>
        <x:v>8350000</x:v>
      </x:c>
      <x:c r="F5" s="11" t="n">
        <x:f>SUMIFS(Cost!E:E,Cost!A:A,Projects!A2)</x:f>
        <x:v>9492224.53</x:v>
      </x:c>
      <x:c r="G5" s="11" t="n">
        <x:f>E5-F5</x:f>
        <x:v>-1142224.5299999993</x:v>
      </x:c>
      <x:c r="H5" s="15" t="str">
        <x:f>IF(G5&lt;0,"Over Budget",IF(COUNTIFS(Schedule!B:B,Projects!A2,Schedule!I:I,"Delayed")&gt;3,"Schedule Risk","On Track"))</x:f>
        <x:v>Over Budget</x:v>
      </x:c>
    </x:row>
    <x:row r="6">
      <x:c r="A6" s="15" t="str">
        <x:v>Total Planned Cost</x:v>
      </x:c>
      <x:c r="B6" s="11" t="n">
        <x:f>SUM(Cost!D2:D121)</x:f>
        <x:v>33295966.709999993</x:v>
      </x:c>
      <x:c r="C6" s="15"/>
      <x:c r="D6" s="15" t="str">
        <x:f>Projects!B3</x:f>
        <x:v>Cleanroom Expansion Phase 2</x:v>
      </x:c>
      <x:c r="E6" s="11" t="n">
        <x:f>Projects!H3</x:f>
        <x:v>12600000</x:v>
      </x:c>
      <x:c r="F6" s="11" t="n">
        <x:f>SUMIFS(Cost!E:E,Cost!A:A,Projects!A3)</x:f>
        <x:v>14012584.420000002</x:v>
      </x:c>
      <x:c r="G6" s="11" t="n">
        <x:f>E6-F6</x:f>
        <x:v>-1412584.4200000018</x:v>
      </x:c>
      <x:c r="H6" s="15" t="str">
        <x:f>IF(G6&lt;0,"Over Budget",IF(COUNTIFS(Schedule!B:B,Projects!A3,Schedule!I:I,"Delayed")&gt;3,"Schedule Risk","On Track"))</x:f>
        <x:v>Over Budget</x:v>
      </x:c>
    </x:row>
    <x:row r="7">
      <x:c r="A7" s="15" t="str">
        <x:v>Total Actual Cost</x:v>
      </x:c>
      <x:c r="B7" s="11" t="n">
        <x:f>SUM(Cost!E2:E121)</x:f>
        <x:v>35989940.519999996</x:v>
      </x:c>
      <x:c r="C7" s="15"/>
      <x:c r="D7" s="15" t="str">
        <x:f>Projects!B4</x:f>
        <x:v>Utility Yard Upgrade</x:v>
      </x:c>
      <x:c r="E7" s="11" t="n">
        <x:f>Projects!H4</x:f>
        <x:v>4925000</x:v>
      </x:c>
      <x:c r="F7" s="11" t="n">
        <x:f>SUMIFS(Cost!E:E,Cost!A:A,Projects!A4)</x:f>
        <x:v>5988441.5</x:v>
      </x:c>
      <x:c r="G7" s="11" t="n">
        <x:f>E7-F7</x:f>
        <x:v>-1063441.5</x:v>
      </x:c>
      <x:c r="H7" s="15" t="str">
        <x:f>IF(G7&lt;0,"Over Budget",IF(COUNTIFS(Schedule!B:B,Projects!A4,Schedule!I:I,"Delayed")&gt;3,"Schedule Risk","On Track"))</x:f>
        <x:v>Over Budget</x:v>
      </x:c>
    </x:row>
    <x:row r="8">
      <x:c r="A8" s="15" t="str">
        <x:v>Cost Variance</x:v>
      </x:c>
      <x:c r="B8" s="11" t="n">
        <x:f>B6-B7</x:f>
        <x:v>-2693973.8100000024</x:v>
      </x:c>
      <x:c r="C8" s="15"/>
      <x:c r="D8" s="15" t="str">
        <x:f>Projects!B5</x:f>
        <x:v>Process Piping Retrofit</x:v>
      </x:c>
      <x:c r="E8" s="11" t="n">
        <x:f>Projects!H5</x:f>
        <x:v>6150000</x:v>
      </x:c>
      <x:c r="F8" s="11" t="n">
        <x:f>SUMIFS(Cost!E:E,Cost!A:A,Projects!A5)</x:f>
        <x:v>6496690.070000001</x:v>
      </x:c>
      <x:c r="G8" s="11" t="n">
        <x:f>E8-F8</x:f>
        <x:v>-346690.07000000123</x:v>
      </x:c>
      <x:c r="H8" s="15" t="str">
        <x:f>IF(G8&lt;0,"Over Budget",IF(COUNTIFS(Schedule!B:B,Projects!A5,Schedule!I:I,"Delayed")&gt;3,"Schedule Risk","On Track"))</x:f>
        <x:v>Over Budget</x:v>
      </x:c>
    </x:row>
    <x:row r="9">
      <x:c r="A9" s="15" t="str">
        <x:v>Total Planned Hours</x:v>
      </x:c>
      <x:c r="B9" s="12" t="n">
        <x:f>SUM(Resources!D2:D121)</x:f>
        <x:v>302480</x:v>
      </x:c>
      <x:c r="C9" s="15"/>
      <x:c r="D9" s="15"/>
      <x:c r="E9" s="15"/>
      <x:c r="F9" s="15"/>
      <x:c r="G9" s="15"/>
      <x:c r="H9" s="15"/>
    </x:row>
    <x:row r="10">
      <x:c r="A10" s="15" t="str">
        <x:v>Total Actual Hours</x:v>
      </x:c>
      <x:c r="B10" s="12" t="n">
        <x:f>SUM(Resources!E2:E121)</x:f>
        <x:v>329284</x:v>
      </x:c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  <x:row r="13">
      <x:c r="A13" s="2" t="str">
        <x:v>Discipline</x:v>
      </x:c>
      <x:c r="B13" s="2" t="str">
        <x:v>Planned Cost</x:v>
      </x:c>
      <x:c r="C13" s="2" t="str">
        <x:v>Actual Cost</x:v>
      </x:c>
      <x:c r="D13" s="2" t="str">
        <x:v>Planned Hours</x:v>
      </x:c>
      <x:c r="E13" s="2" t="str">
        <x:v>Actual Hours</x:v>
      </x:c>
      <x:c r="F13" s="15"/>
      <x:c r="G13" s="15"/>
      <x:c r="H13" s="15"/>
    </x:row>
    <x:row r="14">
      <x:c r="A14" s="15" t="str">
        <x:v>Civil</x:v>
      </x:c>
      <x:c r="B14" s="11" t="n">
        <x:f>SUMIFS(Cost!D:D,Cost!C:C,A14)</x:f>
        <x:v>5884453.760000002</x:v>
      </x:c>
      <x:c r="C14" s="11" t="n">
        <x:f>SUMIFS(Cost!E:E,Cost!C:C,A14)</x:f>
        <x:v>6172776.009999999</x:v>
      </x:c>
      <x:c r="D14" s="12" t="n">
        <x:f>SUMIFS(Resources!D:D,Resources!C:C,A14)</x:f>
        <x:v>53252</x:v>
      </x:c>
      <x:c r="E14" s="12" t="n">
        <x:f>SUMIFS(Resources!E:E,Resources!C:C,A14)</x:f>
        <x:v>58762</x:v>
      </x:c>
      <x:c r="F14" s="15"/>
      <x:c r="G14" s="15"/>
      <x:c r="H14" s="15"/>
    </x:row>
    <x:row r="15">
      <x:c r="A15" s="15" t="str">
        <x:v>Structural</x:v>
      </x:c>
      <x:c r="B15" s="11" t="n">
        <x:f>SUMIFS(Cost!D:D,Cost!C:C,A15)</x:f>
        <x:v>5396918.469999999</x:v>
      </x:c>
      <x:c r="C15" s="11" t="n">
        <x:f>SUMIFS(Cost!E:E,Cost!C:C,A15)</x:f>
        <x:v>6121468.510000002</x:v>
      </x:c>
      <x:c r="D15" s="12" t="n">
        <x:f>SUMIFS(Resources!D:D,Resources!C:C,A15)</x:f>
        <x:v>49529</x:v>
      </x:c>
      <x:c r="E15" s="12" t="n">
        <x:f>SUMIFS(Resources!E:E,Resources!C:C,A15)</x:f>
        <x:v>58271</x:v>
      </x:c>
      <x:c r="F15" s="15"/>
      <x:c r="G15" s="15"/>
      <x:c r="H15" s="15"/>
    </x:row>
    <x:row r="16">
      <x:c r="A16" s="15" t="str">
        <x:v>Mechanical</x:v>
      </x:c>
      <x:c r="B16" s="11" t="n">
        <x:f>SUMIFS(Cost!D:D,Cost!C:C,A16)</x:f>
        <x:v>5446563.19</x:v>
      </x:c>
      <x:c r="C16" s="11" t="n">
        <x:f>SUMIFS(Cost!E:E,Cost!C:C,A16)</x:f>
        <x:v>5809038.91</x:v>
      </x:c>
      <x:c r="D16" s="12" t="n">
        <x:f>SUMIFS(Resources!D:D,Resources!C:C,A16)</x:f>
        <x:v>49945</x:v>
      </x:c>
      <x:c r="E16" s="12" t="n">
        <x:f>SUMIFS(Resources!E:E,Resources!C:C,A16)</x:f>
        <x:v>54146</x:v>
      </x:c>
      <x:c r="F16" s="15"/>
      <x:c r="G16" s="15"/>
      <x:c r="H16" s="15"/>
    </x:row>
    <x:row r="17">
      <x:c r="A17" s="15" t="str">
        <x:v>Electrical</x:v>
      </x:c>
      <x:c r="B17" s="11" t="n">
        <x:f>SUMIFS(Cost!D:D,Cost!C:C,A17)</x:f>
        <x:v>5537305.85</x:v>
      </x:c>
      <x:c r="C17" s="11" t="n">
        <x:f>SUMIFS(Cost!E:E,Cost!C:C,A17)</x:f>
        <x:v>5929759.880000001</x:v>
      </x:c>
      <x:c r="D17" s="12" t="n">
        <x:f>SUMIFS(Resources!D:D,Resources!C:C,A17)</x:f>
        <x:v>50480</x:v>
      </x:c>
      <x:c r="E17" s="12" t="n">
        <x:f>SUMIFS(Resources!E:E,Resources!C:C,A17)</x:f>
        <x:v>54087</x:v>
      </x:c>
      <x:c r="F17" s="15"/>
      <x:c r="G17" s="15"/>
      <x:c r="H17" s="15"/>
    </x:row>
    <x:row r="18">
      <x:c r="A18" s="15" t="str">
        <x:v>Instrumentation</x:v>
      </x:c>
      <x:c r="B18" s="11" t="n">
        <x:f>SUMIFS(Cost!D:D,Cost!C:C,A18)</x:f>
        <x:v>5568467.77</x:v>
      </x:c>
      <x:c r="C18" s="11" t="n">
        <x:f>SUMIFS(Cost!E:E,Cost!C:C,A18)</x:f>
        <x:v>6184577.040000001</x:v>
      </x:c>
      <x:c r="D18" s="12" t="n">
        <x:f>SUMIFS(Resources!D:D,Resources!C:C,A18)</x:f>
        <x:v>51519</x:v>
      </x:c>
      <x:c r="E18" s="12" t="n">
        <x:f>SUMIFS(Resources!E:E,Resources!C:C,A18)</x:f>
        <x:v>55846</x:v>
      </x:c>
      <x:c r="F18" s="15"/>
      <x:c r="G18" s="15"/>
      <x:c r="H18" s="15"/>
    </x:row>
    <x:row r="19">
      <x:c r="A19" s="15" t="str">
        <x:v>Commissioning</x:v>
      </x:c>
      <x:c r="B19" s="11" t="n">
        <x:f>SUMIFS(Cost!D:D,Cost!C:C,A19)</x:f>
        <x:v>5462257.670000001</x:v>
      </x:c>
      <x:c r="C19" s="11" t="n">
        <x:f>SUMIFS(Cost!E:E,Cost!C:C,A19)</x:f>
        <x:v>5772320.17</x:v>
      </x:c>
      <x:c r="D19" s="12" t="n">
        <x:f>SUMIFS(Resources!D:D,Resources!C:C,A19)</x:f>
        <x:v>47755</x:v>
      </x:c>
      <x:c r="E19" s="12" t="n">
        <x:f>SUMIFS(Resources!E:E,Resources!C:C,A19)</x:f>
        <x:v>48172</x:v>
      </x:c>
      <x:c r="F19" s="15"/>
      <x:c r="G19" s="15"/>
      <x:c r="H19" s="15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251540e1497454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</x:cols>
  <x:sheetData>
    <x:row r="1">
      <x:c r="A1" s="2" t="str">
        <x:v>project_id</x:v>
      </x:c>
      <x:c r="B1" s="2" t="str">
        <x:v>project_name</x:v>
      </x:c>
      <x:c r="C1" s="2" t="str">
        <x:v>location</x:v>
      </x:c>
      <x:c r="D1" s="2" t="str">
        <x:v>project_type</x:v>
      </x:c>
      <x:c r="E1" s="2" t="str">
        <x:v>status</x:v>
      </x:c>
      <x:c r="F1" s="2" t="str">
        <x:v>start_date</x:v>
      </x:c>
      <x:c r="G1" s="2" t="str">
        <x:v>planned_finish_date</x:v>
      </x:c>
      <x:c r="H1" s="3" t="str">
        <x:v>baseline_budget</x:v>
      </x:c>
    </x:row>
    <x:row r="2">
      <x:c r="A2" t="str">
        <x:v>P1001</x:v>
      </x:c>
      <x:c r="B2" t="str">
        <x:v>Fab Tool Install - North Bay</x:v>
      </x:c>
      <x:c r="C2" t="str">
        <x:v>Chandler AZ</x:v>
      </x:c>
      <x:c r="D2" t="str">
        <x:v>Semiconductor</x:v>
      </x:c>
      <x:c r="E2" t="str">
        <x:v>Active</x:v>
      </x:c>
      <x:c r="F2" t="str">
        <x:v>2025-01-06</x:v>
      </x:c>
      <x:c r="G2" t="str">
        <x:v>2025-09-26</x:v>
      </x:c>
      <x:c r="H2" t="n">
        <x:v>8350000</x:v>
      </x:c>
    </x:row>
    <x:row r="3">
      <x:c r="A3" t="str">
        <x:v>P1002</x:v>
      </x:c>
      <x:c r="B3" t="str">
        <x:v>Cleanroom Expansion Phase 2</x:v>
      </x:c>
      <x:c r="C3" t="str">
        <x:v>Chandler AZ</x:v>
      </x:c>
      <x:c r="D3" t="str">
        <x:v>Semiconductor</x:v>
      </x:c>
      <x:c r="E3" t="str">
        <x:v>Active</x:v>
      </x:c>
      <x:c r="F3" t="str">
        <x:v>2025-02-03</x:v>
      </x:c>
      <x:c r="G3" t="str">
        <x:v>2025-11-14</x:v>
      </x:c>
      <x:c r="H3" t="n">
        <x:v>12600000</x:v>
      </x:c>
    </x:row>
    <x:row r="4">
      <x:c r="A4" t="str">
        <x:v>P1003</x:v>
      </x:c>
      <x:c r="B4" t="str">
        <x:v>Utility Yard Upgrade</x:v>
      </x:c>
      <x:c r="C4" t="str">
        <x:v>Mesa AZ</x:v>
      </x:c>
      <x:c r="D4" t="str">
        <x:v>Industrial</x:v>
      </x:c>
      <x:c r="E4" t="str">
        <x:v>At Risk</x:v>
      </x:c>
      <x:c r="F4" t="str">
        <x:v>2025-01-20</x:v>
      </x:c>
      <x:c r="G4" t="str">
        <x:v>2025-08-22</x:v>
      </x:c>
      <x:c r="H4" t="n">
        <x:v>4925000</x:v>
      </x:c>
    </x:row>
    <x:row r="5">
      <x:c r="A5" t="str">
        <x:v>P1004</x:v>
      </x:c>
      <x:c r="B5" t="str">
        <x:v>Process Piping Retrofit</x:v>
      </x:c>
      <x:c r="C5" t="str">
        <x:v>Phoenix AZ</x:v>
      </x:c>
      <x:c r="D5" t="str">
        <x:v>Manufacturing</x:v>
      </x:c>
      <x:c r="E5" t="str">
        <x:v>Active</x:v>
      </x:c>
      <x:c r="F5" t="str">
        <x:v>2025-03-03</x:v>
      </x:c>
      <x:c r="G5" t="str">
        <x:v>2025-10-31</x:v>
      </x:c>
      <x:c r="H5" t="n">
        <x:v>6150000</x:v>
      </x:c>
    </x:row>
  </x:sheetData>
  <x:pageMargins left="0.7" right="0.7" top="0.75" bottom="0.75" header="0.3" footer="0.3"/>
  <x:tableParts count="1">
    <x:tablePart xmlns:r="http://schemas.openxmlformats.org/officeDocument/2006/relationships" r:id="R1c789df4323542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</x:cols>
  <x:sheetData>
    <x:row r="1">
      <x:c r="A1" s="2" t="str">
        <x:v>task_id</x:v>
      </x:c>
      <x:c r="B1" s="2" t="str">
        <x:v>project_id</x:v>
      </x:c>
      <x:c r="C1" s="2" t="str">
        <x:v>task_name</x:v>
      </x:c>
      <x:c r="D1" s="2" t="str">
        <x:v>discipline</x:v>
      </x:c>
      <x:c r="E1" s="4" t="str">
        <x:v>planned_start</x:v>
      </x:c>
      <x:c r="F1" s="4" t="str">
        <x:v>planned_finish</x:v>
      </x:c>
      <x:c r="G1" s="4" t="str">
        <x:v>actual_finish</x:v>
      </x:c>
      <x:c r="H1" s="5" t="str">
        <x:v>percent_complete</x:v>
      </x:c>
      <x:c r="I1" s="2" t="str">
        <x:v>task_status</x:v>
      </x:c>
    </x:row>
    <x:row r="2">
      <x:c r="A2" t="str">
        <x:v>P1001-T01</x:v>
      </x:c>
      <x:c r="B2" t="str">
        <x:v>P1001</x:v>
      </x:c>
      <x:c r="C2" t="str">
        <x:v>Civil Phase 1</x:v>
      </x:c>
      <x:c r="D2" t="str">
        <x:v>Civil</x:v>
      </x:c>
      <x:c r="E2" t="str">
        <x:v>2025-01-09</x:v>
      </x:c>
      <x:c r="F2" t="str">
        <x:v>2025-01-28</x:v>
      </x:c>
      <x:c r="G2" t="str"/>
      <x:c r="H2" t="n">
        <x:v>0.38</x:v>
      </x:c>
      <x:c r="I2" t="str">
        <x:v>Not Started</x:v>
      </x:c>
    </x:row>
    <x:row r="3">
      <x:c r="A3" t="str">
        <x:v>P1001-T02</x:v>
      </x:c>
      <x:c r="B3" t="str">
        <x:v>P1001</x:v>
      </x:c>
      <x:c r="C3" t="str">
        <x:v>Civil Phase 2</x:v>
      </x:c>
      <x:c r="D3" t="str">
        <x:v>Civil</x:v>
      </x:c>
      <x:c r="E3" t="str">
        <x:v>2025-02-12</x:v>
      </x:c>
      <x:c r="F3" t="str">
        <x:v>2025-03-23</x:v>
      </x:c>
      <x:c r="G3" t="str">
        <x:v>2025-03-23</x:v>
      </x:c>
      <x:c r="H3" t="n">
        <x:v>1</x:v>
      </x:c>
      <x:c r="I3" t="str">
        <x:v>Complete</x:v>
      </x:c>
    </x:row>
    <x:row r="4">
      <x:c r="A4" t="str">
        <x:v>P1001-T03</x:v>
      </x:c>
      <x:c r="B4" t="str">
        <x:v>P1001</x:v>
      </x:c>
      <x:c r="C4" t="str">
        <x:v>Civil Phase 3</x:v>
      </x:c>
      <x:c r="D4" t="str">
        <x:v>Civil</x:v>
      </x:c>
      <x:c r="E4" t="str">
        <x:v>2025-03-04</x:v>
      </x:c>
      <x:c r="F4" t="str">
        <x:v>2025-04-08</x:v>
      </x:c>
      <x:c r="G4" t="str"/>
      <x:c r="H4" t="n">
        <x:v>0.71</x:v>
      </x:c>
      <x:c r="I4" t="str">
        <x:v>Not Started</x:v>
      </x:c>
    </x:row>
    <x:row r="5">
      <x:c r="A5" t="str">
        <x:v>P1001-T04</x:v>
      </x:c>
      <x:c r="B5" t="str">
        <x:v>P1001</x:v>
      </x:c>
      <x:c r="C5" t="str">
        <x:v>Civil Phase 4</x:v>
      </x:c>
      <x:c r="D5" t="str">
        <x:v>Civil</x:v>
      </x:c>
      <x:c r="E5" t="str">
        <x:v>2025-04-09</x:v>
      </x:c>
      <x:c r="F5" t="str">
        <x:v>2025-05-03</x:v>
      </x:c>
      <x:c r="G5" t="str"/>
      <x:c r="H5" t="n">
        <x:v>0.47</x:v>
      </x:c>
      <x:c r="I5" t="str">
        <x:v>Delayed</x:v>
      </x:c>
    </x:row>
    <x:row r="6">
      <x:c r="A6" t="str">
        <x:v>P1001-T05</x:v>
      </x:c>
      <x:c r="B6" t="str">
        <x:v>P1001</x:v>
      </x:c>
      <x:c r="C6" t="str">
        <x:v>Civil Phase 5</x:v>
      </x:c>
      <x:c r="D6" t="str">
        <x:v>Civil</x:v>
      </x:c>
      <x:c r="E6" t="str">
        <x:v>2025-05-08</x:v>
      </x:c>
      <x:c r="F6" t="str">
        <x:v>2025-05-29</x:v>
      </x:c>
      <x:c r="G6" t="str">
        <x:v>2025-06-01</x:v>
      </x:c>
      <x:c r="H6" t="n">
        <x:v>1</x:v>
      </x:c>
      <x:c r="I6" t="str">
        <x:v>Complete</x:v>
      </x:c>
    </x:row>
    <x:row r="7">
      <x:c r="A7" t="str">
        <x:v>P1001-T06</x:v>
      </x:c>
      <x:c r="B7" t="str">
        <x:v>P1001</x:v>
      </x:c>
      <x:c r="C7" t="str">
        <x:v>Structural Phase 1</x:v>
      </x:c>
      <x:c r="D7" t="str">
        <x:v>Structural</x:v>
      </x:c>
      <x:c r="E7" t="str">
        <x:v>2025-01-17</x:v>
      </x:c>
      <x:c r="F7" t="str">
        <x:v>2025-02-15</x:v>
      </x:c>
      <x:c r="G7" t="str">
        <x:v>2025-02-20</x:v>
      </x:c>
      <x:c r="H7" t="n">
        <x:v>1</x:v>
      </x:c>
      <x:c r="I7" t="str">
        <x:v>Complete</x:v>
      </x:c>
    </x:row>
    <x:row r="8">
      <x:c r="A8" t="str">
        <x:v>P1001-T07</x:v>
      </x:c>
      <x:c r="B8" t="str">
        <x:v>P1001</x:v>
      </x:c>
      <x:c r="C8" t="str">
        <x:v>Structural Phase 2</x:v>
      </x:c>
      <x:c r="D8" t="str">
        <x:v>Structural</x:v>
      </x:c>
      <x:c r="E8" t="str">
        <x:v>2025-02-11</x:v>
      </x:c>
      <x:c r="F8" t="str">
        <x:v>2025-03-10</x:v>
      </x:c>
      <x:c r="G8" t="str"/>
      <x:c r="H8" t="n">
        <x:v>0.25</x:v>
      </x:c>
      <x:c r="I8" t="str">
        <x:v>Not Started</x:v>
      </x:c>
    </x:row>
    <x:row r="9">
      <x:c r="A9" t="str">
        <x:v>P1001-T08</x:v>
      </x:c>
      <x:c r="B9" t="str">
        <x:v>P1001</x:v>
      </x:c>
      <x:c r="C9" t="str">
        <x:v>Structural Phase 3</x:v>
      </x:c>
      <x:c r="D9" t="str">
        <x:v>Structural</x:v>
      </x:c>
      <x:c r="E9" t="str">
        <x:v>2025-03-13</x:v>
      </x:c>
      <x:c r="F9" t="str">
        <x:v>2025-04-01</x:v>
      </x:c>
      <x:c r="G9" t="str"/>
      <x:c r="H9" t="n">
        <x:v>0.36</x:v>
      </x:c>
      <x:c r="I9" t="str">
        <x:v>In Progress</x:v>
      </x:c>
    </x:row>
    <x:row r="10">
      <x:c r="A10" t="str">
        <x:v>P1001-T09</x:v>
      </x:c>
      <x:c r="B10" t="str">
        <x:v>P1001</x:v>
      </x:c>
      <x:c r="C10" t="str">
        <x:v>Structural Phase 4</x:v>
      </x:c>
      <x:c r="D10" t="str">
        <x:v>Structural</x:v>
      </x:c>
      <x:c r="E10" t="str">
        <x:v>2025-04-03</x:v>
      </x:c>
      <x:c r="F10" t="str">
        <x:v>2025-04-30</x:v>
      </x:c>
      <x:c r="G10" t="str">
        <x:v>2025-05-06</x:v>
      </x:c>
      <x:c r="H10" t="n">
        <x:v>1</x:v>
      </x:c>
      <x:c r="I10" t="str">
        <x:v>Complete</x:v>
      </x:c>
    </x:row>
    <x:row r="11">
      <x:c r="A11" t="str">
        <x:v>P1001-T10</x:v>
      </x:c>
      <x:c r="B11" t="str">
        <x:v>P1001</x:v>
      </x:c>
      <x:c r="C11" t="str">
        <x:v>Structural Phase 5</x:v>
      </x:c>
      <x:c r="D11" t="str">
        <x:v>Structural</x:v>
      </x:c>
      <x:c r="E11" t="str">
        <x:v>2025-04-29</x:v>
      </x:c>
      <x:c r="F11" t="str">
        <x:v>2025-05-21</x:v>
      </x:c>
      <x:c r="G11" t="str"/>
      <x:c r="H11" t="n">
        <x:v>0.24</x:v>
      </x:c>
      <x:c r="I11" t="str">
        <x:v>Delayed</x:v>
      </x:c>
    </x:row>
    <x:row r="12">
      <x:c r="A12" t="str">
        <x:v>P1001-T11</x:v>
      </x:c>
      <x:c r="B12" t="str">
        <x:v>P1001</x:v>
      </x:c>
      <x:c r="C12" t="str">
        <x:v>Mechanical Phase 1</x:v>
      </x:c>
      <x:c r="D12" t="str">
        <x:v>Mechanical</x:v>
      </x:c>
      <x:c r="E12" t="str">
        <x:v>2025-01-08</x:v>
      </x:c>
      <x:c r="F12" t="str">
        <x:v>2025-02-18</x:v>
      </x:c>
      <x:c r="G12" t="str"/>
      <x:c r="H12" t="n">
        <x:v>0.33</x:v>
      </x:c>
      <x:c r="I12" t="str">
        <x:v>Not Started</x:v>
      </x:c>
    </x:row>
    <x:row r="13">
      <x:c r="A13" t="str">
        <x:v>P1001-T12</x:v>
      </x:c>
      <x:c r="B13" t="str">
        <x:v>P1001</x:v>
      </x:c>
      <x:c r="C13" t="str">
        <x:v>Mechanical Phase 2</x:v>
      </x:c>
      <x:c r="D13" t="str">
        <x:v>Mechanical</x:v>
      </x:c>
      <x:c r="E13" t="str">
        <x:v>2025-02-05</x:v>
      </x:c>
      <x:c r="F13" t="str">
        <x:v>2025-03-07</x:v>
      </x:c>
      <x:c r="G13" t="str"/>
      <x:c r="H13" t="n">
        <x:v>0.28</x:v>
      </x:c>
      <x:c r="I13" t="str">
        <x:v>Not Started</x:v>
      </x:c>
    </x:row>
    <x:row r="14">
      <x:c r="A14" t="str">
        <x:v>P1001-T13</x:v>
      </x:c>
      <x:c r="B14" t="str">
        <x:v>P1001</x:v>
      </x:c>
      <x:c r="C14" t="str">
        <x:v>Mechanical Phase 3</x:v>
      </x:c>
      <x:c r="D14" t="str">
        <x:v>Mechanical</x:v>
      </x:c>
      <x:c r="E14" t="str">
        <x:v>2025-03-10</x:v>
      </x:c>
      <x:c r="F14" t="str">
        <x:v>2025-04-05</x:v>
      </x:c>
      <x:c r="G14" t="str">
        <x:v>2025-04-11</x:v>
      </x:c>
      <x:c r="H14" t="n">
        <x:v>1</x:v>
      </x:c>
      <x:c r="I14" t="str">
        <x:v>Complete</x:v>
      </x:c>
    </x:row>
    <x:row r="15">
      <x:c r="A15" t="str">
        <x:v>P1001-T14</x:v>
      </x:c>
      <x:c r="B15" t="str">
        <x:v>P1001</x:v>
      </x:c>
      <x:c r="C15" t="str">
        <x:v>Mechanical Phase 4</x:v>
      </x:c>
      <x:c r="D15" t="str">
        <x:v>Mechanical</x:v>
      </x:c>
      <x:c r="E15" t="str">
        <x:v>2025-04-07</x:v>
      </x:c>
      <x:c r="F15" t="str">
        <x:v>2025-04-26</x:v>
      </x:c>
      <x:c r="G15" t="str"/>
      <x:c r="H15" t="n">
        <x:v>0.46</x:v>
      </x:c>
      <x:c r="I15" t="str">
        <x:v>Delayed</x:v>
      </x:c>
    </x:row>
    <x:row r="16">
      <x:c r="A16" t="str">
        <x:v>P1001-T15</x:v>
      </x:c>
      <x:c r="B16" t="str">
        <x:v>P1001</x:v>
      </x:c>
      <x:c r="C16" t="str">
        <x:v>Mechanical Phase 5</x:v>
      </x:c>
      <x:c r="D16" t="str">
        <x:v>Mechanical</x:v>
      </x:c>
      <x:c r="E16" t="str">
        <x:v>2025-05-01</x:v>
      </x:c>
      <x:c r="F16" t="str">
        <x:v>2025-06-09</x:v>
      </x:c>
      <x:c r="G16" t="str">
        <x:v>2025-06-11</x:v>
      </x:c>
      <x:c r="H16" t="n">
        <x:v>1</x:v>
      </x:c>
      <x:c r="I16" t="str">
        <x:v>Complete</x:v>
      </x:c>
    </x:row>
    <x:row r="17">
      <x:c r="A17" t="str">
        <x:v>P1001-T16</x:v>
      </x:c>
      <x:c r="B17" t="str">
        <x:v>P1001</x:v>
      </x:c>
      <x:c r="C17" t="str">
        <x:v>Electrical Phase 1</x:v>
      </x:c>
      <x:c r="D17" t="str">
        <x:v>Electrical</x:v>
      </x:c>
      <x:c r="E17" t="str">
        <x:v>2025-01-10</x:v>
      </x:c>
      <x:c r="F17" t="str">
        <x:v>2025-02-18</x:v>
      </x:c>
      <x:c r="G17" t="str">
        <x:v>2025-02-21</x:v>
      </x:c>
      <x:c r="H17" t="n">
        <x:v>1</x:v>
      </x:c>
      <x:c r="I17" t="str">
        <x:v>Complete</x:v>
      </x:c>
    </x:row>
    <x:row r="18">
      <x:c r="A18" t="str">
        <x:v>P1001-T17</x:v>
      </x:c>
      <x:c r="B18" t="str">
        <x:v>P1001</x:v>
      </x:c>
      <x:c r="C18" t="str">
        <x:v>Electrical Phase 2</x:v>
      </x:c>
      <x:c r="D18" t="str">
        <x:v>Electrical</x:v>
      </x:c>
      <x:c r="E18" t="str">
        <x:v>2025-02-05</x:v>
      </x:c>
      <x:c r="F18" t="str">
        <x:v>2025-03-14</x:v>
      </x:c>
      <x:c r="G18" t="str"/>
      <x:c r="H18" t="n">
        <x:v>0.27</x:v>
      </x:c>
      <x:c r="I18" t="str">
        <x:v>In Progress</x:v>
      </x:c>
    </x:row>
    <x:row r="19">
      <x:c r="A19" t="str">
        <x:v>P1001-T18</x:v>
      </x:c>
      <x:c r="B19" t="str">
        <x:v>P1001</x:v>
      </x:c>
      <x:c r="C19" t="str">
        <x:v>Electrical Phase 3</x:v>
      </x:c>
      <x:c r="D19" t="str">
        <x:v>Electrical</x:v>
      </x:c>
      <x:c r="E19" t="str">
        <x:v>2025-03-10</x:v>
      </x:c>
      <x:c r="F19" t="str">
        <x:v>2025-04-06</x:v>
      </x:c>
      <x:c r="G19" t="str">
        <x:v>2025-04-09</x:v>
      </x:c>
      <x:c r="H19" t="n">
        <x:v>1</x:v>
      </x:c>
      <x:c r="I19" t="str">
        <x:v>Complete</x:v>
      </x:c>
    </x:row>
    <x:row r="20">
      <x:c r="A20" t="str">
        <x:v>P1001-T19</x:v>
      </x:c>
      <x:c r="B20" t="str">
        <x:v>P1001</x:v>
      </x:c>
      <x:c r="C20" t="str">
        <x:v>Electrical Phase 4</x:v>
      </x:c>
      <x:c r="D20" t="str">
        <x:v>Electrical</x:v>
      </x:c>
      <x:c r="E20" t="str">
        <x:v>2025-03-31</x:v>
      </x:c>
      <x:c r="F20" t="str">
        <x:v>2025-04-25</x:v>
      </x:c>
      <x:c r="G20" t="str"/>
      <x:c r="H20" t="n">
        <x:v>0.66</x:v>
      </x:c>
      <x:c r="I20" t="str">
        <x:v>In Progress</x:v>
      </x:c>
    </x:row>
    <x:row r="21">
      <x:c r="A21" t="str">
        <x:v>P1001-T20</x:v>
      </x:c>
      <x:c r="B21" t="str">
        <x:v>P1001</x:v>
      </x:c>
      <x:c r="C21" t="str">
        <x:v>Electrical Phase 5</x:v>
      </x:c>
      <x:c r="D21" t="str">
        <x:v>Electrical</x:v>
      </x:c>
      <x:c r="E21" t="str">
        <x:v>2025-05-05</x:v>
      </x:c>
      <x:c r="F21" t="str">
        <x:v>2025-06-15</x:v>
      </x:c>
      <x:c r="G21" t="str"/>
      <x:c r="H21" t="n">
        <x:v>0.64</x:v>
      </x:c>
      <x:c r="I21" t="str">
        <x:v>In Progress</x:v>
      </x:c>
    </x:row>
    <x:row r="22">
      <x:c r="A22" t="str">
        <x:v>P1001-T21</x:v>
      </x:c>
      <x:c r="B22" t="str">
        <x:v>P1001</x:v>
      </x:c>
      <x:c r="C22" t="str">
        <x:v>Instrumentation Phase 1</x:v>
      </x:c>
      <x:c r="D22" t="str">
        <x:v>Instrumentation</x:v>
      </x:c>
      <x:c r="E22" t="str">
        <x:v>2025-01-17</x:v>
      </x:c>
      <x:c r="F22" t="str">
        <x:v>2025-02-14</x:v>
      </x:c>
      <x:c r="G22" t="str"/>
      <x:c r="H22" t="n">
        <x:v>0.25</x:v>
      </x:c>
      <x:c r="I22" t="str">
        <x:v>In Progress</x:v>
      </x:c>
    </x:row>
    <x:row r="23">
      <x:c r="A23" t="str">
        <x:v>P1001-T22</x:v>
      </x:c>
      <x:c r="B23" t="str">
        <x:v>P1001</x:v>
      </x:c>
      <x:c r="C23" t="str">
        <x:v>Instrumentation Phase 2</x:v>
      </x:c>
      <x:c r="D23" t="str">
        <x:v>Instrumentation</x:v>
      </x:c>
      <x:c r="E23" t="str">
        <x:v>2025-02-06</x:v>
      </x:c>
      <x:c r="F23" t="str">
        <x:v>2025-03-02</x:v>
      </x:c>
      <x:c r="G23" t="str">
        <x:v>2025-03-02</x:v>
      </x:c>
      <x:c r="H23" t="n">
        <x:v>1</x:v>
      </x:c>
      <x:c r="I23" t="str">
        <x:v>Complete</x:v>
      </x:c>
    </x:row>
    <x:row r="24">
      <x:c r="A24" t="str">
        <x:v>P1001-T23</x:v>
      </x:c>
      <x:c r="B24" t="str">
        <x:v>P1001</x:v>
      </x:c>
      <x:c r="C24" t="str">
        <x:v>Instrumentation Phase 3</x:v>
      </x:c>
      <x:c r="D24" t="str">
        <x:v>Instrumentation</x:v>
      </x:c>
      <x:c r="E24" t="str">
        <x:v>2025-03-11</x:v>
      </x:c>
      <x:c r="F24" t="str">
        <x:v>2025-04-07</x:v>
      </x:c>
      <x:c r="G24" t="str"/>
      <x:c r="H24" t="n">
        <x:v>0.85</x:v>
      </x:c>
      <x:c r="I24" t="str">
        <x:v>Delayed</x:v>
      </x:c>
    </x:row>
    <x:row r="25">
      <x:c r="A25" t="str">
        <x:v>P1001-T24</x:v>
      </x:c>
      <x:c r="B25" t="str">
        <x:v>P1001</x:v>
      </x:c>
      <x:c r="C25" t="str">
        <x:v>Instrumentation Phase 4</x:v>
      </x:c>
      <x:c r="D25" t="str">
        <x:v>Instrumentation</x:v>
      </x:c>
      <x:c r="E25" t="str">
        <x:v>2025-04-08</x:v>
      </x:c>
      <x:c r="F25" t="str">
        <x:v>2025-05-08</x:v>
      </x:c>
      <x:c r="G25" t="str"/>
      <x:c r="H25" t="n">
        <x:v>0.78</x:v>
      </x:c>
      <x:c r="I25" t="str">
        <x:v>In Progress</x:v>
      </x:c>
    </x:row>
    <x:row r="26">
      <x:c r="A26" t="str">
        <x:v>P1001-T25</x:v>
      </x:c>
      <x:c r="B26" t="str">
        <x:v>P1001</x:v>
      </x:c>
      <x:c r="C26" t="str">
        <x:v>Instrumentation Phase 5</x:v>
      </x:c>
      <x:c r="D26" t="str">
        <x:v>Instrumentation</x:v>
      </x:c>
      <x:c r="E26" t="str">
        <x:v>2025-05-07</x:v>
      </x:c>
      <x:c r="F26" t="str">
        <x:v>2025-06-10</x:v>
      </x:c>
      <x:c r="G26" t="str"/>
      <x:c r="H26" t="n">
        <x:v>0.65</x:v>
      </x:c>
      <x:c r="I26" t="str">
        <x:v>Delayed</x:v>
      </x:c>
    </x:row>
    <x:row r="27">
      <x:c r="A27" t="str">
        <x:v>P1001-T26</x:v>
      </x:c>
      <x:c r="B27" t="str">
        <x:v>P1001</x:v>
      </x:c>
      <x:c r="C27" t="str">
        <x:v>Commissioning Phase 1</x:v>
      </x:c>
      <x:c r="D27" t="str">
        <x:v>Commissioning</x:v>
      </x:c>
      <x:c r="E27" t="str">
        <x:v>2025-01-17</x:v>
      </x:c>
      <x:c r="F27" t="str">
        <x:v>2025-02-17</x:v>
      </x:c>
      <x:c r="G27" t="str">
        <x:v>2025-02-20</x:v>
      </x:c>
      <x:c r="H27" t="n">
        <x:v>1</x:v>
      </x:c>
      <x:c r="I27" t="str">
        <x:v>Complete</x:v>
      </x:c>
    </x:row>
    <x:row r="28">
      <x:c r="A28" t="str">
        <x:v>P1001-T27</x:v>
      </x:c>
      <x:c r="B28" t="str">
        <x:v>P1001</x:v>
      </x:c>
      <x:c r="C28" t="str">
        <x:v>Commissioning Phase 2</x:v>
      </x:c>
      <x:c r="D28" t="str">
        <x:v>Commissioning</x:v>
      </x:c>
      <x:c r="E28" t="str">
        <x:v>2025-02-11</x:v>
      </x:c>
      <x:c r="F28" t="str">
        <x:v>2025-03-17</x:v>
      </x:c>
      <x:c r="G28" t="str">
        <x:v>2025-03-17</x:v>
      </x:c>
      <x:c r="H28" t="n">
        <x:v>1</x:v>
      </x:c>
      <x:c r="I28" t="str">
        <x:v>Complete</x:v>
      </x:c>
    </x:row>
    <x:row r="29">
      <x:c r="A29" t="str">
        <x:v>P1001-T28</x:v>
      </x:c>
      <x:c r="B29" t="str">
        <x:v>P1001</x:v>
      </x:c>
      <x:c r="C29" t="str">
        <x:v>Commissioning Phase 3</x:v>
      </x:c>
      <x:c r="D29" t="str">
        <x:v>Commissioning</x:v>
      </x:c>
      <x:c r="E29" t="str">
        <x:v>2025-03-03</x:v>
      </x:c>
      <x:c r="F29" t="str">
        <x:v>2025-03-31</x:v>
      </x:c>
      <x:c r="G29" t="str"/>
      <x:c r="H29" t="n">
        <x:v>0.49</x:v>
      </x:c>
      <x:c r="I29" t="str">
        <x:v>Not Started</x:v>
      </x:c>
    </x:row>
    <x:row r="30">
      <x:c r="A30" t="str">
        <x:v>P1001-T29</x:v>
      </x:c>
      <x:c r="B30" t="str">
        <x:v>P1001</x:v>
      </x:c>
      <x:c r="C30" t="str">
        <x:v>Commissioning Phase 4</x:v>
      </x:c>
      <x:c r="D30" t="str">
        <x:v>Commissioning</x:v>
      </x:c>
      <x:c r="E30" t="str">
        <x:v>2025-03-31</x:v>
      </x:c>
      <x:c r="F30" t="str">
        <x:v>2025-05-08</x:v>
      </x:c>
      <x:c r="G30" t="str"/>
      <x:c r="H30" t="n">
        <x:v>0.15</x:v>
      </x:c>
      <x:c r="I30" t="str">
        <x:v>In Progress</x:v>
      </x:c>
    </x:row>
    <x:row r="31">
      <x:c r="A31" t="str">
        <x:v>P1001-T30</x:v>
      </x:c>
      <x:c r="B31" t="str">
        <x:v>P1001</x:v>
      </x:c>
      <x:c r="C31" t="str">
        <x:v>Commissioning Phase 5</x:v>
      </x:c>
      <x:c r="D31" t="str">
        <x:v>Commissioning</x:v>
      </x:c>
      <x:c r="E31" t="str">
        <x:v>2025-05-07</x:v>
      </x:c>
      <x:c r="F31" t="str">
        <x:v>2025-06-07</x:v>
      </x:c>
      <x:c r="G31" t="str">
        <x:v>2025-06-09</x:v>
      </x:c>
      <x:c r="H31" t="n">
        <x:v>1</x:v>
      </x:c>
      <x:c r="I31" t="str">
        <x:v>Complete</x:v>
      </x:c>
    </x:row>
    <x:row r="32">
      <x:c r="A32" t="str">
        <x:v>P1002-T01</x:v>
      </x:c>
      <x:c r="B32" t="str">
        <x:v>P1002</x:v>
      </x:c>
      <x:c r="C32" t="str">
        <x:v>Civil Phase 1</x:v>
      </x:c>
      <x:c r="D32" t="str">
        <x:v>Civil</x:v>
      </x:c>
      <x:c r="E32" t="str">
        <x:v>2025-02-05</x:v>
      </x:c>
      <x:c r="F32" t="str">
        <x:v>2025-03-06</x:v>
      </x:c>
      <x:c r="G32" t="str"/>
      <x:c r="H32" t="n">
        <x:v>0.42</x:v>
      </x:c>
      <x:c r="I32" t="str">
        <x:v>Delayed</x:v>
      </x:c>
    </x:row>
    <x:row r="33">
      <x:c r="A33" t="str">
        <x:v>P1002-T02</x:v>
      </x:c>
      <x:c r="B33" t="str">
        <x:v>P1002</x:v>
      </x:c>
      <x:c r="C33" t="str">
        <x:v>Civil Phase 2</x:v>
      </x:c>
      <x:c r="D33" t="str">
        <x:v>Civil</x:v>
      </x:c>
      <x:c r="E33" t="str">
        <x:v>2025-03-09</x:v>
      </x:c>
      <x:c r="F33" t="str">
        <x:v>2025-04-07</x:v>
      </x:c>
      <x:c r="G33" t="str"/>
      <x:c r="H33" t="n">
        <x:v>0.26</x:v>
      </x:c>
      <x:c r="I33" t="str">
        <x:v>Delayed</x:v>
      </x:c>
    </x:row>
    <x:row r="34">
      <x:c r="A34" t="str">
        <x:v>P1002-T03</x:v>
      </x:c>
      <x:c r="B34" t="str">
        <x:v>P1002</x:v>
      </x:c>
      <x:c r="C34" t="str">
        <x:v>Civil Phase 3</x:v>
      </x:c>
      <x:c r="D34" t="str">
        <x:v>Civil</x:v>
      </x:c>
      <x:c r="E34" t="str">
        <x:v>2025-04-02</x:v>
      </x:c>
      <x:c r="F34" t="str">
        <x:v>2025-05-01</x:v>
      </x:c>
      <x:c r="G34" t="str"/>
      <x:c r="H34" t="n">
        <x:v>0.3</x:v>
      </x:c>
      <x:c r="I34" t="str">
        <x:v>Not Started</x:v>
      </x:c>
    </x:row>
    <x:row r="35">
      <x:c r="A35" t="str">
        <x:v>P1002-T04</x:v>
      </x:c>
      <x:c r="B35" t="str">
        <x:v>P1002</x:v>
      </x:c>
      <x:c r="C35" t="str">
        <x:v>Civil Phase 4</x:v>
      </x:c>
      <x:c r="D35" t="str">
        <x:v>Civil</x:v>
      </x:c>
      <x:c r="E35" t="str">
        <x:v>2025-05-08</x:v>
      </x:c>
      <x:c r="F35" t="str">
        <x:v>2025-06-02</x:v>
      </x:c>
      <x:c r="G35" t="str"/>
      <x:c r="H35" t="n">
        <x:v>0.18</x:v>
      </x:c>
      <x:c r="I35" t="str">
        <x:v>Delayed</x:v>
      </x:c>
    </x:row>
    <x:row r="36">
      <x:c r="A36" t="str">
        <x:v>P1002-T05</x:v>
      </x:c>
      <x:c r="B36" t="str">
        <x:v>P1002</x:v>
      </x:c>
      <x:c r="C36" t="str">
        <x:v>Civil Phase 5</x:v>
      </x:c>
      <x:c r="D36" t="str">
        <x:v>Civil</x:v>
      </x:c>
      <x:c r="E36" t="str">
        <x:v>2025-05-30</x:v>
      </x:c>
      <x:c r="F36" t="str">
        <x:v>2025-06-21</x:v>
      </x:c>
      <x:c r="G36" t="str"/>
      <x:c r="H36" t="n">
        <x:v>0.52</x:v>
      </x:c>
      <x:c r="I36" t="str">
        <x:v>Not Started</x:v>
      </x:c>
    </x:row>
    <x:row r="37">
      <x:c r="A37" t="str">
        <x:v>P1002-T06</x:v>
      </x:c>
      <x:c r="B37" t="str">
        <x:v>P1002</x:v>
      </x:c>
      <x:c r="C37" t="str">
        <x:v>Structural Phase 1</x:v>
      </x:c>
      <x:c r="D37" t="str">
        <x:v>Structural</x:v>
      </x:c>
      <x:c r="E37" t="str">
        <x:v>2025-02-11</x:v>
      </x:c>
      <x:c r="F37" t="str">
        <x:v>2025-03-07</x:v>
      </x:c>
      <x:c r="G37" t="str">
        <x:v>2025-03-07</x:v>
      </x:c>
      <x:c r="H37" t="n">
        <x:v>1</x:v>
      </x:c>
      <x:c r="I37" t="str">
        <x:v>Complete</x:v>
      </x:c>
    </x:row>
    <x:row r="38">
      <x:c r="A38" t="str">
        <x:v>P1002-T07</x:v>
      </x:c>
      <x:c r="B38" t="str">
        <x:v>P1002</x:v>
      </x:c>
      <x:c r="C38" t="str">
        <x:v>Structural Phase 2</x:v>
      </x:c>
      <x:c r="D38" t="str">
        <x:v>Structural</x:v>
      </x:c>
      <x:c r="E38" t="str">
        <x:v>2025-03-04</x:v>
      </x:c>
      <x:c r="F38" t="str">
        <x:v>2025-03-23</x:v>
      </x:c>
      <x:c r="G38" t="str">
        <x:v>2025-03-27</x:v>
      </x:c>
      <x:c r="H38" t="n">
        <x:v>1</x:v>
      </x:c>
      <x:c r="I38" t="str">
        <x:v>Complete</x:v>
      </x:c>
    </x:row>
    <x:row r="39">
      <x:c r="A39" t="str">
        <x:v>P1002-T08</x:v>
      </x:c>
      <x:c r="B39" t="str">
        <x:v>P1002</x:v>
      </x:c>
      <x:c r="C39" t="str">
        <x:v>Structural Phase 3</x:v>
      </x:c>
      <x:c r="D39" t="str">
        <x:v>Structural</x:v>
      </x:c>
      <x:c r="E39" t="str">
        <x:v>2025-04-07</x:v>
      </x:c>
      <x:c r="F39" t="str">
        <x:v>2025-04-26</x:v>
      </x:c>
      <x:c r="G39" t="str"/>
      <x:c r="H39" t="n">
        <x:v>0.38</x:v>
      </x:c>
      <x:c r="I39" t="str">
        <x:v>In Progress</x:v>
      </x:c>
    </x:row>
    <x:row r="40">
      <x:c r="A40" t="str">
        <x:v>P1002-T09</x:v>
      </x:c>
      <x:c r="B40" t="str">
        <x:v>P1002</x:v>
      </x:c>
      <x:c r="C40" t="str">
        <x:v>Structural Phase 4</x:v>
      </x:c>
      <x:c r="D40" t="str">
        <x:v>Structural</x:v>
      </x:c>
      <x:c r="E40" t="str">
        <x:v>2025-05-09</x:v>
      </x:c>
      <x:c r="F40" t="str">
        <x:v>2025-05-30</x:v>
      </x:c>
      <x:c r="G40" t="str"/>
      <x:c r="H40" t="n">
        <x:v>0.2</x:v>
      </x:c>
      <x:c r="I40" t="str">
        <x:v>Delayed</x:v>
      </x:c>
    </x:row>
    <x:row r="41">
      <x:c r="A41" t="str">
        <x:v>P1002-T10</x:v>
      </x:c>
      <x:c r="B41" t="str">
        <x:v>P1002</x:v>
      </x:c>
      <x:c r="C41" t="str">
        <x:v>Structural Phase 5</x:v>
      </x:c>
      <x:c r="D41" t="str">
        <x:v>Structural</x:v>
      </x:c>
      <x:c r="E41" t="str">
        <x:v>2025-05-31</x:v>
      </x:c>
      <x:c r="F41" t="str">
        <x:v>2025-07-01</x:v>
      </x:c>
      <x:c r="G41" t="str">
        <x:v>2025-07-06</x:v>
      </x:c>
      <x:c r="H41" t="n">
        <x:v>1</x:v>
      </x:c>
      <x:c r="I41" t="str">
        <x:v>Complete</x:v>
      </x:c>
    </x:row>
    <x:row r="42">
      <x:c r="A42" t="str">
        <x:v>P1002-T11</x:v>
      </x:c>
      <x:c r="B42" t="str">
        <x:v>P1002</x:v>
      </x:c>
      <x:c r="C42" t="str">
        <x:v>Mechanical Phase 1</x:v>
      </x:c>
      <x:c r="D42" t="str">
        <x:v>Mechanical</x:v>
      </x:c>
      <x:c r="E42" t="str">
        <x:v>2025-02-10</x:v>
      </x:c>
      <x:c r="F42" t="str">
        <x:v>2025-03-05</x:v>
      </x:c>
      <x:c r="G42" t="str"/>
      <x:c r="H42" t="n">
        <x:v>0.19</x:v>
      </x:c>
      <x:c r="I42" t="str">
        <x:v>Not Started</x:v>
      </x:c>
    </x:row>
    <x:row r="43">
      <x:c r="A43" t="str">
        <x:v>P1002-T12</x:v>
      </x:c>
      <x:c r="B43" t="str">
        <x:v>P1002</x:v>
      </x:c>
      <x:c r="C43" t="str">
        <x:v>Mechanical Phase 2</x:v>
      </x:c>
      <x:c r="D43" t="str">
        <x:v>Mechanical</x:v>
      </x:c>
      <x:c r="E43" t="str">
        <x:v>2025-03-08</x:v>
      </x:c>
      <x:c r="F43" t="str">
        <x:v>2025-04-07</x:v>
      </x:c>
      <x:c r="G43" t="str"/>
      <x:c r="H43" t="n">
        <x:v>0.43</x:v>
      </x:c>
      <x:c r="I43" t="str">
        <x:v>Not Started</x:v>
      </x:c>
    </x:row>
    <x:row r="44">
      <x:c r="A44" t="str">
        <x:v>P1002-T13</x:v>
      </x:c>
      <x:c r="B44" t="str">
        <x:v>P1002</x:v>
      </x:c>
      <x:c r="C44" t="str">
        <x:v>Mechanical Phase 3</x:v>
      </x:c>
      <x:c r="D44" t="str">
        <x:v>Mechanical</x:v>
      </x:c>
      <x:c r="E44" t="str">
        <x:v>2025-04-04</x:v>
      </x:c>
      <x:c r="F44" t="str">
        <x:v>2025-05-07</x:v>
      </x:c>
      <x:c r="G44" t="str"/>
      <x:c r="H44" t="n">
        <x:v>0.49</x:v>
      </x:c>
      <x:c r="I44" t="str">
        <x:v>Delayed</x:v>
      </x:c>
    </x:row>
    <x:row r="45">
      <x:c r="A45" t="str">
        <x:v>P1002-T14</x:v>
      </x:c>
      <x:c r="B45" t="str">
        <x:v>P1002</x:v>
      </x:c>
      <x:c r="C45" t="str">
        <x:v>Mechanical Phase 4</x:v>
      </x:c>
      <x:c r="D45" t="str">
        <x:v>Mechanical</x:v>
      </x:c>
      <x:c r="E45" t="str">
        <x:v>2025-05-05</x:v>
      </x:c>
      <x:c r="F45" t="str">
        <x:v>2025-06-04</x:v>
      </x:c>
      <x:c r="G45" t="str"/>
      <x:c r="H45" t="n">
        <x:v>0.78</x:v>
      </x:c>
      <x:c r="I45" t="str">
        <x:v>Delayed</x:v>
      </x:c>
    </x:row>
    <x:row r="46">
      <x:c r="A46" t="str">
        <x:v>P1002-T15</x:v>
      </x:c>
      <x:c r="B46" t="str">
        <x:v>P1002</x:v>
      </x:c>
      <x:c r="C46" t="str">
        <x:v>Mechanical Phase 5</x:v>
      </x:c>
      <x:c r="D46" t="str">
        <x:v>Mechanical</x:v>
      </x:c>
      <x:c r="E46" t="str">
        <x:v>2025-06-04</x:v>
      </x:c>
      <x:c r="F46" t="str">
        <x:v>2025-07-01</x:v>
      </x:c>
      <x:c r="G46" t="str">
        <x:v>2025-07-01</x:v>
      </x:c>
      <x:c r="H46" t="n">
        <x:v>1</x:v>
      </x:c>
      <x:c r="I46" t="str">
        <x:v>Complete</x:v>
      </x:c>
    </x:row>
    <x:row r="47">
      <x:c r="A47" t="str">
        <x:v>P1002-T16</x:v>
      </x:c>
      <x:c r="B47" t="str">
        <x:v>P1002</x:v>
      </x:c>
      <x:c r="C47" t="str">
        <x:v>Electrical Phase 1</x:v>
      </x:c>
      <x:c r="D47" t="str">
        <x:v>Electrical</x:v>
      </x:c>
      <x:c r="E47" t="str">
        <x:v>2025-02-04</x:v>
      </x:c>
      <x:c r="F47" t="str">
        <x:v>2025-02-23</x:v>
      </x:c>
      <x:c r="G47" t="str"/>
      <x:c r="H47" t="n">
        <x:v>0.5</x:v>
      </x:c>
      <x:c r="I47" t="str">
        <x:v>Not Started</x:v>
      </x:c>
    </x:row>
    <x:row r="48">
      <x:c r="A48" t="str">
        <x:v>P1002-T17</x:v>
      </x:c>
      <x:c r="B48" t="str">
        <x:v>P1002</x:v>
      </x:c>
      <x:c r="C48" t="str">
        <x:v>Electrical Phase 2</x:v>
      </x:c>
      <x:c r="D48" t="str">
        <x:v>Electrical</x:v>
      </x:c>
      <x:c r="E48" t="str">
        <x:v>2025-03-14</x:v>
      </x:c>
      <x:c r="F48" t="str">
        <x:v>2025-04-18</x:v>
      </x:c>
      <x:c r="G48" t="str"/>
      <x:c r="H48" t="n">
        <x:v>0.46</x:v>
      </x:c>
      <x:c r="I48" t="str">
        <x:v>In Progress</x:v>
      </x:c>
    </x:row>
    <x:row r="49">
      <x:c r="A49" t="str">
        <x:v>P1002-T18</x:v>
      </x:c>
      <x:c r="B49" t="str">
        <x:v>P1002</x:v>
      </x:c>
      <x:c r="C49" t="str">
        <x:v>Electrical Phase 3</x:v>
      </x:c>
      <x:c r="D49" t="str">
        <x:v>Electrical</x:v>
      </x:c>
      <x:c r="E49" t="str">
        <x:v>2025-04-07</x:v>
      </x:c>
      <x:c r="F49" t="str">
        <x:v>2025-05-05</x:v>
      </x:c>
      <x:c r="G49" t="str"/>
      <x:c r="H49" t="n">
        <x:v>0.61</x:v>
      </x:c>
      <x:c r="I49" t="str">
        <x:v>Delayed</x:v>
      </x:c>
    </x:row>
    <x:row r="50">
      <x:c r="A50" t="str">
        <x:v>P1002-T19</x:v>
      </x:c>
      <x:c r="B50" t="str">
        <x:v>P1002</x:v>
      </x:c>
      <x:c r="C50" t="str">
        <x:v>Electrical Phase 4</x:v>
      </x:c>
      <x:c r="D50" t="str">
        <x:v>Electrical</x:v>
      </x:c>
      <x:c r="E50" t="str">
        <x:v>2025-05-05</x:v>
      </x:c>
      <x:c r="F50" t="str">
        <x:v>2025-06-02</x:v>
      </x:c>
      <x:c r="G50" t="str"/>
      <x:c r="H50" t="n">
        <x:v>0.61</x:v>
      </x:c>
      <x:c r="I50" t="str">
        <x:v>In Progress</x:v>
      </x:c>
    </x:row>
    <x:row r="51">
      <x:c r="A51" t="str">
        <x:v>P1002-T20</x:v>
      </x:c>
      <x:c r="B51" t="str">
        <x:v>P1002</x:v>
      </x:c>
      <x:c r="C51" t="str">
        <x:v>Electrical Phase 5</x:v>
      </x:c>
      <x:c r="D51" t="str">
        <x:v>Electrical</x:v>
      </x:c>
      <x:c r="E51" t="str">
        <x:v>2025-05-28</x:v>
      </x:c>
      <x:c r="F51" t="str">
        <x:v>2025-06-22</x:v>
      </x:c>
      <x:c r="G51" t="str"/>
      <x:c r="H51" t="n">
        <x:v>0.22</x:v>
      </x:c>
      <x:c r="I51" t="str">
        <x:v>Not Started</x:v>
      </x:c>
    </x:row>
    <x:row r="52">
      <x:c r="A52" t="str">
        <x:v>P1002-T21</x:v>
      </x:c>
      <x:c r="B52" t="str">
        <x:v>P1002</x:v>
      </x:c>
      <x:c r="C52" t="str">
        <x:v>Instrumentation Phase 1</x:v>
      </x:c>
      <x:c r="D52" t="str">
        <x:v>Instrumentation</x:v>
      </x:c>
      <x:c r="E52" t="str">
        <x:v>2025-02-08</x:v>
      </x:c>
      <x:c r="F52" t="str">
        <x:v>2025-03-16</x:v>
      </x:c>
      <x:c r="G52" t="str"/>
      <x:c r="H52" t="n">
        <x:v>0.87</x:v>
      </x:c>
      <x:c r="I52" t="str">
        <x:v>Delayed</x:v>
      </x:c>
    </x:row>
    <x:row r="53">
      <x:c r="A53" t="str">
        <x:v>P1002-T22</x:v>
      </x:c>
      <x:c r="B53" t="str">
        <x:v>P1002</x:v>
      </x:c>
      <x:c r="C53" t="str">
        <x:v>Instrumentation Phase 2</x:v>
      </x:c>
      <x:c r="D53" t="str">
        <x:v>Instrumentation</x:v>
      </x:c>
      <x:c r="E53" t="str">
        <x:v>2025-03-06</x:v>
      </x:c>
      <x:c r="F53" t="str">
        <x:v>2025-03-28</x:v>
      </x:c>
      <x:c r="G53" t="str"/>
      <x:c r="H53" t="n">
        <x:v>0.43</x:v>
      </x:c>
      <x:c r="I53" t="str">
        <x:v>Not Started</x:v>
      </x:c>
    </x:row>
    <x:row r="54">
      <x:c r="A54" t="str">
        <x:v>P1002-T23</x:v>
      </x:c>
      <x:c r="B54" t="str">
        <x:v>P1002</x:v>
      </x:c>
      <x:c r="C54" t="str">
        <x:v>Instrumentation Phase 3</x:v>
      </x:c>
      <x:c r="D54" t="str">
        <x:v>Instrumentation</x:v>
      </x:c>
      <x:c r="E54" t="str">
        <x:v>2025-04-05</x:v>
      </x:c>
      <x:c r="F54" t="str">
        <x:v>2025-05-10</x:v>
      </x:c>
      <x:c r="G54" t="str"/>
      <x:c r="H54" t="n">
        <x:v>0.85</x:v>
      </x:c>
      <x:c r="I54" t="str">
        <x:v>Delayed</x:v>
      </x:c>
    </x:row>
    <x:row r="55">
      <x:c r="A55" t="str">
        <x:v>P1002-T24</x:v>
      </x:c>
      <x:c r="B55" t="str">
        <x:v>P1002</x:v>
      </x:c>
      <x:c r="C55" t="str">
        <x:v>Instrumentation Phase 4</x:v>
      </x:c>
      <x:c r="D55" t="str">
        <x:v>Instrumentation</x:v>
      </x:c>
      <x:c r="E55" t="str">
        <x:v>2025-04-28</x:v>
      </x:c>
      <x:c r="F55" t="str">
        <x:v>2025-06-04</x:v>
      </x:c>
      <x:c r="G55" t="str">
        <x:v>2025-06-06</x:v>
      </x:c>
      <x:c r="H55" t="n">
        <x:v>1</x:v>
      </x:c>
      <x:c r="I55" t="str">
        <x:v>Complete</x:v>
      </x:c>
    </x:row>
    <x:row r="56">
      <x:c r="A56" t="str">
        <x:v>P1002-T25</x:v>
      </x:c>
      <x:c r="B56" t="str">
        <x:v>P1002</x:v>
      </x:c>
      <x:c r="C56" t="str">
        <x:v>Instrumentation Phase 5</x:v>
      </x:c>
      <x:c r="D56" t="str">
        <x:v>Instrumentation</x:v>
      </x:c>
      <x:c r="E56" t="str">
        <x:v>2025-05-26</x:v>
      </x:c>
      <x:c r="F56" t="str">
        <x:v>2025-06-30</x:v>
      </x:c>
      <x:c r="G56" t="str"/>
      <x:c r="H56" t="n">
        <x:v>0.83</x:v>
      </x:c>
      <x:c r="I56" t="str">
        <x:v>Not Started</x:v>
      </x:c>
    </x:row>
    <x:row r="57">
      <x:c r="A57" t="str">
        <x:v>P1002-T26</x:v>
      </x:c>
      <x:c r="B57" t="str">
        <x:v>P1002</x:v>
      </x:c>
      <x:c r="C57" t="str">
        <x:v>Commissioning Phase 1</x:v>
      </x:c>
      <x:c r="D57" t="str">
        <x:v>Commissioning</x:v>
      </x:c>
      <x:c r="E57" t="str">
        <x:v>2025-02-04</x:v>
      </x:c>
      <x:c r="F57" t="str">
        <x:v>2025-03-14</x:v>
      </x:c>
      <x:c r="G57" t="str">
        <x:v>2025-03-18</x:v>
      </x:c>
      <x:c r="H57" t="n">
        <x:v>1</x:v>
      </x:c>
      <x:c r="I57" t="str">
        <x:v>Complete</x:v>
      </x:c>
    </x:row>
    <x:row r="58">
      <x:c r="A58" t="str">
        <x:v>P1002-T27</x:v>
      </x:c>
      <x:c r="B58" t="str">
        <x:v>P1002</x:v>
      </x:c>
      <x:c r="C58" t="str">
        <x:v>Commissioning Phase 2</x:v>
      </x:c>
      <x:c r="D58" t="str">
        <x:v>Commissioning</x:v>
      </x:c>
      <x:c r="E58" t="str">
        <x:v>2025-03-03</x:v>
      </x:c>
      <x:c r="F58" t="str">
        <x:v>2025-03-25</x:v>
      </x:c>
      <x:c r="G58" t="str">
        <x:v>2025-03-28</x:v>
      </x:c>
      <x:c r="H58" t="n">
        <x:v>1</x:v>
      </x:c>
      <x:c r="I58" t="str">
        <x:v>Complete</x:v>
      </x:c>
    </x:row>
    <x:row r="59">
      <x:c r="A59" t="str">
        <x:v>P1002-T28</x:v>
      </x:c>
      <x:c r="B59" t="str">
        <x:v>P1002</x:v>
      </x:c>
      <x:c r="C59" t="str">
        <x:v>Commissioning Phase 3</x:v>
      </x:c>
      <x:c r="D59" t="str">
        <x:v>Commissioning</x:v>
      </x:c>
      <x:c r="E59" t="str">
        <x:v>2025-04-03</x:v>
      </x:c>
      <x:c r="F59" t="str">
        <x:v>2025-04-30</x:v>
      </x:c>
      <x:c r="G59" t="str">
        <x:v>2025-05-05</x:v>
      </x:c>
      <x:c r="H59" t="n">
        <x:v>1</x:v>
      </x:c>
      <x:c r="I59" t="str">
        <x:v>Complete</x:v>
      </x:c>
    </x:row>
    <x:row r="60">
      <x:c r="A60" t="str">
        <x:v>P1002-T29</x:v>
      </x:c>
      <x:c r="B60" t="str">
        <x:v>P1002</x:v>
      </x:c>
      <x:c r="C60" t="str">
        <x:v>Commissioning Phase 4</x:v>
      </x:c>
      <x:c r="D60" t="str">
        <x:v>Commissioning</x:v>
      </x:c>
      <x:c r="E60" t="str">
        <x:v>2025-05-06</x:v>
      </x:c>
      <x:c r="F60" t="str">
        <x:v>2025-06-13</x:v>
      </x:c>
      <x:c r="G60" t="str"/>
      <x:c r="H60" t="n">
        <x:v>0.44</x:v>
      </x:c>
      <x:c r="I60" t="str">
        <x:v>Delayed</x:v>
      </x:c>
    </x:row>
    <x:row r="61">
      <x:c r="A61" t="str">
        <x:v>P1002-T30</x:v>
      </x:c>
      <x:c r="B61" t="str">
        <x:v>P1002</x:v>
      </x:c>
      <x:c r="C61" t="str">
        <x:v>Commissioning Phase 5</x:v>
      </x:c>
      <x:c r="D61" t="str">
        <x:v>Commissioning</x:v>
      </x:c>
      <x:c r="E61" t="str">
        <x:v>2025-06-04</x:v>
      </x:c>
      <x:c r="F61" t="str">
        <x:v>2025-07-01</x:v>
      </x:c>
      <x:c r="G61" t="str">
        <x:v>2025-07-02</x:v>
      </x:c>
      <x:c r="H61" t="n">
        <x:v>1</x:v>
      </x:c>
      <x:c r="I61" t="str">
        <x:v>Complete</x:v>
      </x:c>
    </x:row>
    <x:row r="62">
      <x:c r="A62" t="str">
        <x:v>P1003-T01</x:v>
      </x:c>
      <x:c r="B62" t="str">
        <x:v>P1003</x:v>
      </x:c>
      <x:c r="C62" t="str">
        <x:v>Civil Phase 1</x:v>
      </x:c>
      <x:c r="D62" t="str">
        <x:v>Civil</x:v>
      </x:c>
      <x:c r="E62" t="str">
        <x:v>2025-01-25</x:v>
      </x:c>
      <x:c r="F62" t="str">
        <x:v>2025-03-04</x:v>
      </x:c>
      <x:c r="G62" t="str"/>
      <x:c r="H62" t="n">
        <x:v>0.85</x:v>
      </x:c>
      <x:c r="I62" t="str">
        <x:v>Delayed</x:v>
      </x:c>
    </x:row>
    <x:row r="63">
      <x:c r="A63" t="str">
        <x:v>P1003-T02</x:v>
      </x:c>
      <x:c r="B63" t="str">
        <x:v>P1003</x:v>
      </x:c>
      <x:c r="C63" t="str">
        <x:v>Civil Phase 2</x:v>
      </x:c>
      <x:c r="D63" t="str">
        <x:v>Civil</x:v>
      </x:c>
      <x:c r="E63" t="str">
        <x:v>2025-02-28</x:v>
      </x:c>
      <x:c r="F63" t="str">
        <x:v>2025-04-01</x:v>
      </x:c>
      <x:c r="G63" t="str">
        <x:v>2025-04-01</x:v>
      </x:c>
      <x:c r="H63" t="n">
        <x:v>1</x:v>
      </x:c>
      <x:c r="I63" t="str">
        <x:v>Complete</x:v>
      </x:c>
    </x:row>
    <x:row r="64">
      <x:c r="A64" t="str">
        <x:v>P1003-T03</x:v>
      </x:c>
      <x:c r="B64" t="str">
        <x:v>P1003</x:v>
      </x:c>
      <x:c r="C64" t="str">
        <x:v>Civil Phase 3</x:v>
      </x:c>
      <x:c r="D64" t="str">
        <x:v>Civil</x:v>
      </x:c>
      <x:c r="E64" t="str">
        <x:v>2025-03-23</x:v>
      </x:c>
      <x:c r="F64" t="str">
        <x:v>2025-04-16</x:v>
      </x:c>
      <x:c r="G64" t="str"/>
      <x:c r="H64" t="n">
        <x:v>0.84</x:v>
      </x:c>
      <x:c r="I64" t="str">
        <x:v>Not Started</x:v>
      </x:c>
    </x:row>
    <x:row r="65">
      <x:c r="A65" t="str">
        <x:v>P1003-T04</x:v>
      </x:c>
      <x:c r="B65" t="str">
        <x:v>P1003</x:v>
      </x:c>
      <x:c r="C65" t="str">
        <x:v>Civil Phase 4</x:v>
      </x:c>
      <x:c r="D65" t="str">
        <x:v>Civil</x:v>
      </x:c>
      <x:c r="E65" t="str">
        <x:v>2025-04-20</x:v>
      </x:c>
      <x:c r="F65" t="str">
        <x:v>2025-05-26</x:v>
      </x:c>
      <x:c r="G65" t="str"/>
      <x:c r="H65" t="n">
        <x:v>0.4</x:v>
      </x:c>
      <x:c r="I65" t="str">
        <x:v>Delayed</x:v>
      </x:c>
    </x:row>
    <x:row r="66">
      <x:c r="A66" t="str">
        <x:v>P1003-T05</x:v>
      </x:c>
      <x:c r="B66" t="str">
        <x:v>P1003</x:v>
      </x:c>
      <x:c r="C66" t="str">
        <x:v>Civil Phase 5</x:v>
      </x:c>
      <x:c r="D66" t="str">
        <x:v>Civil</x:v>
      </x:c>
      <x:c r="E66" t="str">
        <x:v>2025-05-20</x:v>
      </x:c>
      <x:c r="F66" t="str">
        <x:v>2025-06-15</x:v>
      </x:c>
      <x:c r="G66" t="str"/>
      <x:c r="H66" t="n">
        <x:v>0.16</x:v>
      </x:c>
      <x:c r="I66" t="str">
        <x:v>In Progress</x:v>
      </x:c>
    </x:row>
    <x:row r="67">
      <x:c r="A67" t="str">
        <x:v>P1003-T06</x:v>
      </x:c>
      <x:c r="B67" t="str">
        <x:v>P1003</x:v>
      </x:c>
      <x:c r="C67" t="str">
        <x:v>Structural Phase 1</x:v>
      </x:c>
      <x:c r="D67" t="str">
        <x:v>Structural</x:v>
      </x:c>
      <x:c r="E67" t="str">
        <x:v>2025-01-24</x:v>
      </x:c>
      <x:c r="F67" t="str">
        <x:v>2025-03-06</x:v>
      </x:c>
      <x:c r="G67" t="str"/>
      <x:c r="H67" t="n">
        <x:v>0.69</x:v>
      </x:c>
      <x:c r="I67" t="str">
        <x:v>Not Started</x:v>
      </x:c>
    </x:row>
    <x:row r="68">
      <x:c r="A68" t="str">
        <x:v>P1003-T07</x:v>
      </x:c>
      <x:c r="B68" t="str">
        <x:v>P1003</x:v>
      </x:c>
      <x:c r="C68" t="str">
        <x:v>Structural Phase 2</x:v>
      </x:c>
      <x:c r="D68" t="str">
        <x:v>Structural</x:v>
      </x:c>
      <x:c r="E68" t="str">
        <x:v>2025-02-21</x:v>
      </x:c>
      <x:c r="F68" t="str">
        <x:v>2025-03-17</x:v>
      </x:c>
      <x:c r="G68" t="str">
        <x:v>2025-03-18</x:v>
      </x:c>
      <x:c r="H68" t="n">
        <x:v>1</x:v>
      </x:c>
      <x:c r="I68" t="str">
        <x:v>Complete</x:v>
      </x:c>
    </x:row>
    <x:row r="69">
      <x:c r="A69" t="str">
        <x:v>P1003-T08</x:v>
      </x:c>
      <x:c r="B69" t="str">
        <x:v>P1003</x:v>
      </x:c>
      <x:c r="C69" t="str">
        <x:v>Structural Phase 3</x:v>
      </x:c>
      <x:c r="D69" t="str">
        <x:v>Structural</x:v>
      </x:c>
      <x:c r="E69" t="str">
        <x:v>2025-03-22</x:v>
      </x:c>
      <x:c r="F69" t="str">
        <x:v>2025-04-14</x:v>
      </x:c>
      <x:c r="G69" t="str">
        <x:v>2025-04-27</x:v>
      </x:c>
      <x:c r="H69" t="n">
        <x:v>1</x:v>
      </x:c>
      <x:c r="I69" t="str">
        <x:v>Complete</x:v>
      </x:c>
    </x:row>
    <x:row r="70">
      <x:c r="A70" t="str">
        <x:v>P1003-T09</x:v>
      </x:c>
      <x:c r="B70" t="str">
        <x:v>P1003</x:v>
      </x:c>
      <x:c r="C70" t="str">
        <x:v>Structural Phase 4</x:v>
      </x:c>
      <x:c r="D70" t="str">
        <x:v>Structural</x:v>
      </x:c>
      <x:c r="E70" t="str">
        <x:v>2025-04-20</x:v>
      </x:c>
      <x:c r="F70" t="str">
        <x:v>2025-05-17</x:v>
      </x:c>
      <x:c r="G70" t="str">
        <x:v>2025-05-18</x:v>
      </x:c>
      <x:c r="H70" t="n">
        <x:v>1</x:v>
      </x:c>
      <x:c r="I70" t="str">
        <x:v>Complete</x:v>
      </x:c>
    </x:row>
    <x:row r="71">
      <x:c r="A71" t="str">
        <x:v>P1003-T10</x:v>
      </x:c>
      <x:c r="B71" t="str">
        <x:v>P1003</x:v>
      </x:c>
      <x:c r="C71" t="str">
        <x:v>Structural Phase 5</x:v>
      </x:c>
      <x:c r="D71" t="str">
        <x:v>Structural</x:v>
      </x:c>
      <x:c r="E71" t="str">
        <x:v>2025-05-12</x:v>
      </x:c>
      <x:c r="F71" t="str">
        <x:v>2025-06-07</x:v>
      </x:c>
      <x:c r="G71" t="str">
        <x:v>2025-06-12</x:v>
      </x:c>
      <x:c r="H71" t="n">
        <x:v>1</x:v>
      </x:c>
      <x:c r="I71" t="str">
        <x:v>Complete</x:v>
      </x:c>
    </x:row>
    <x:row r="72">
      <x:c r="A72" t="str">
        <x:v>P1003-T11</x:v>
      </x:c>
      <x:c r="B72" t="str">
        <x:v>P1003</x:v>
      </x:c>
      <x:c r="C72" t="str">
        <x:v>Mechanical Phase 1</x:v>
      </x:c>
      <x:c r="D72" t="str">
        <x:v>Mechanical</x:v>
      </x:c>
      <x:c r="E72" t="str">
        <x:v>2025-01-20</x:v>
      </x:c>
      <x:c r="F72" t="str">
        <x:v>2025-03-01</x:v>
      </x:c>
      <x:c r="G72" t="str">
        <x:v>2025-03-16</x:v>
      </x:c>
      <x:c r="H72" t="n">
        <x:v>1</x:v>
      </x:c>
      <x:c r="I72" t="str">
        <x:v>Complete</x:v>
      </x:c>
    </x:row>
    <x:row r="73">
      <x:c r="A73" t="str">
        <x:v>P1003-T12</x:v>
      </x:c>
      <x:c r="B73" t="str">
        <x:v>P1003</x:v>
      </x:c>
      <x:c r="C73" t="str">
        <x:v>Mechanical Phase 2</x:v>
      </x:c>
      <x:c r="D73" t="str">
        <x:v>Mechanical</x:v>
      </x:c>
      <x:c r="E73" t="str">
        <x:v>2025-02-20</x:v>
      </x:c>
      <x:c r="F73" t="str">
        <x:v>2025-04-02</x:v>
      </x:c>
      <x:c r="G73" t="str">
        <x:v>2025-04-02</x:v>
      </x:c>
      <x:c r="H73" t="n">
        <x:v>1</x:v>
      </x:c>
      <x:c r="I73" t="str">
        <x:v>Complete</x:v>
      </x:c>
    </x:row>
    <x:row r="74">
      <x:c r="A74" t="str">
        <x:v>P1003-T13</x:v>
      </x:c>
      <x:c r="B74" t="str">
        <x:v>P1003</x:v>
      </x:c>
      <x:c r="C74" t="str">
        <x:v>Mechanical Phase 3</x:v>
      </x:c>
      <x:c r="D74" t="str">
        <x:v>Mechanical</x:v>
      </x:c>
      <x:c r="E74" t="str">
        <x:v>2025-03-20</x:v>
      </x:c>
      <x:c r="F74" t="str">
        <x:v>2025-04-22</x:v>
      </x:c>
      <x:c r="G74" t="str">
        <x:v>2025-05-03</x:v>
      </x:c>
      <x:c r="H74" t="n">
        <x:v>1</x:v>
      </x:c>
      <x:c r="I74" t="str">
        <x:v>Complete</x:v>
      </x:c>
    </x:row>
    <x:row r="75">
      <x:c r="A75" t="str">
        <x:v>P1003-T14</x:v>
      </x:c>
      <x:c r="B75" t="str">
        <x:v>P1003</x:v>
      </x:c>
      <x:c r="C75" t="str">
        <x:v>Mechanical Phase 4</x:v>
      </x:c>
      <x:c r="D75" t="str">
        <x:v>Mechanical</x:v>
      </x:c>
      <x:c r="E75" t="str">
        <x:v>2025-04-19</x:v>
      </x:c>
      <x:c r="F75" t="str">
        <x:v>2025-05-19</x:v>
      </x:c>
      <x:c r="G75" t="str">
        <x:v>2025-05-23</x:v>
      </x:c>
      <x:c r="H75" t="n">
        <x:v>1</x:v>
      </x:c>
      <x:c r="I75" t="str">
        <x:v>Complete</x:v>
      </x:c>
    </x:row>
    <x:row r="76">
      <x:c r="A76" t="str">
        <x:v>P1003-T15</x:v>
      </x:c>
      <x:c r="B76" t="str">
        <x:v>P1003</x:v>
      </x:c>
      <x:c r="C76" t="str">
        <x:v>Mechanical Phase 5</x:v>
      </x:c>
      <x:c r="D76" t="str">
        <x:v>Mechanical</x:v>
      </x:c>
      <x:c r="E76" t="str">
        <x:v>2025-05-21</x:v>
      </x:c>
      <x:c r="F76" t="str">
        <x:v>2025-06-22</x:v>
      </x:c>
      <x:c r="G76" t="str">
        <x:v>2025-06-24</x:v>
      </x:c>
      <x:c r="H76" t="n">
        <x:v>1</x:v>
      </x:c>
      <x:c r="I76" t="str">
        <x:v>Complete</x:v>
      </x:c>
    </x:row>
    <x:row r="77">
      <x:c r="A77" t="str">
        <x:v>P1003-T16</x:v>
      </x:c>
      <x:c r="B77" t="str">
        <x:v>P1003</x:v>
      </x:c>
      <x:c r="C77" t="str">
        <x:v>Electrical Phase 1</x:v>
      </x:c>
      <x:c r="D77" t="str">
        <x:v>Electrical</x:v>
      </x:c>
      <x:c r="E77" t="str">
        <x:v>2025-01-25</x:v>
      </x:c>
      <x:c r="F77" t="str">
        <x:v>2025-03-01</x:v>
      </x:c>
      <x:c r="G77" t="str"/>
      <x:c r="H77" t="n">
        <x:v>0.76</x:v>
      </x:c>
      <x:c r="I77" t="str">
        <x:v>In Progress</x:v>
      </x:c>
    </x:row>
    <x:row r="78">
      <x:c r="A78" t="str">
        <x:v>P1003-T17</x:v>
      </x:c>
      <x:c r="B78" t="str">
        <x:v>P1003</x:v>
      </x:c>
      <x:c r="C78" t="str">
        <x:v>Electrical Phase 2</x:v>
      </x:c>
      <x:c r="D78" t="str">
        <x:v>Electrical</x:v>
      </x:c>
      <x:c r="E78" t="str">
        <x:v>2025-02-24</x:v>
      </x:c>
      <x:c r="F78" t="str">
        <x:v>2025-03-30</x:v>
      </x:c>
      <x:c r="G78" t="str"/>
      <x:c r="H78" t="n">
        <x:v>0.17</x:v>
      </x:c>
      <x:c r="I78" t="str">
        <x:v>In Progress</x:v>
      </x:c>
    </x:row>
    <x:row r="79">
      <x:c r="A79" t="str">
        <x:v>P1003-T18</x:v>
      </x:c>
      <x:c r="B79" t="str">
        <x:v>P1003</x:v>
      </x:c>
      <x:c r="C79" t="str">
        <x:v>Electrical Phase 3</x:v>
      </x:c>
      <x:c r="D79" t="str">
        <x:v>Electrical</x:v>
      </x:c>
      <x:c r="E79" t="str">
        <x:v>2025-03-18</x:v>
      </x:c>
      <x:c r="F79" t="str">
        <x:v>2025-04-06</x:v>
      </x:c>
      <x:c r="G79" t="str">
        <x:v>2025-04-16</x:v>
      </x:c>
      <x:c r="H79" t="n">
        <x:v>1</x:v>
      </x:c>
      <x:c r="I79" t="str">
        <x:v>Complete</x:v>
      </x:c>
    </x:row>
    <x:row r="80">
      <x:c r="A80" t="str">
        <x:v>P1003-T19</x:v>
      </x:c>
      <x:c r="B80" t="str">
        <x:v>P1003</x:v>
      </x:c>
      <x:c r="C80" t="str">
        <x:v>Electrical Phase 4</x:v>
      </x:c>
      <x:c r="D80" t="str">
        <x:v>Electrical</x:v>
      </x:c>
      <x:c r="E80" t="str">
        <x:v>2025-04-14</x:v>
      </x:c>
      <x:c r="F80" t="str">
        <x:v>2025-05-11</x:v>
      </x:c>
      <x:c r="G80" t="str"/>
      <x:c r="H80" t="n">
        <x:v>0.84</x:v>
      </x:c>
      <x:c r="I80" t="str">
        <x:v>In Progress</x:v>
      </x:c>
    </x:row>
    <x:row r="81">
      <x:c r="A81" t="str">
        <x:v>P1003-T20</x:v>
      </x:c>
      <x:c r="B81" t="str">
        <x:v>P1003</x:v>
      </x:c>
      <x:c r="C81" t="str">
        <x:v>Electrical Phase 5</x:v>
      </x:c>
      <x:c r="D81" t="str">
        <x:v>Electrical</x:v>
      </x:c>
      <x:c r="E81" t="str">
        <x:v>2025-05-21</x:v>
      </x:c>
      <x:c r="F81" t="str">
        <x:v>2025-06-16</x:v>
      </x:c>
      <x:c r="G81" t="str"/>
      <x:c r="H81" t="n">
        <x:v>0.23</x:v>
      </x:c>
      <x:c r="I81" t="str">
        <x:v>Not Started</x:v>
      </x:c>
    </x:row>
    <x:row r="82">
      <x:c r="A82" t="str">
        <x:v>P1003-T21</x:v>
      </x:c>
      <x:c r="B82" t="str">
        <x:v>P1003</x:v>
      </x:c>
      <x:c r="C82" t="str">
        <x:v>Instrumentation Phase 1</x:v>
      </x:c>
      <x:c r="D82" t="str">
        <x:v>Instrumentation</x:v>
      </x:c>
      <x:c r="E82" t="str">
        <x:v>2025-01-23</x:v>
      </x:c>
      <x:c r="F82" t="str">
        <x:v>2025-03-01</x:v>
      </x:c>
      <x:c r="G82" t="str"/>
      <x:c r="H82" t="n">
        <x:v>0.8</x:v>
      </x:c>
      <x:c r="I82" t="str">
        <x:v>Not Started</x:v>
      </x:c>
    </x:row>
    <x:row r="83">
      <x:c r="A83" t="str">
        <x:v>P1003-T22</x:v>
      </x:c>
      <x:c r="B83" t="str">
        <x:v>P1003</x:v>
      </x:c>
      <x:c r="C83" t="str">
        <x:v>Instrumentation Phase 2</x:v>
      </x:c>
      <x:c r="D83" t="str">
        <x:v>Instrumentation</x:v>
      </x:c>
      <x:c r="E83" t="str">
        <x:v>2025-02-25</x:v>
      </x:c>
      <x:c r="F83" t="str">
        <x:v>2025-03-20</x:v>
      </x:c>
      <x:c r="G83" t="str">
        <x:v>2025-04-03</x:v>
      </x:c>
      <x:c r="H83" t="n">
        <x:v>1</x:v>
      </x:c>
      <x:c r="I83" t="str">
        <x:v>Complete</x:v>
      </x:c>
    </x:row>
    <x:row r="84">
      <x:c r="A84" t="str">
        <x:v>P1003-T23</x:v>
      </x:c>
      <x:c r="B84" t="str">
        <x:v>P1003</x:v>
      </x:c>
      <x:c r="C84" t="str">
        <x:v>Instrumentation Phase 3</x:v>
      </x:c>
      <x:c r="D84" t="str">
        <x:v>Instrumentation</x:v>
      </x:c>
      <x:c r="E84" t="str">
        <x:v>2025-03-28</x:v>
      </x:c>
      <x:c r="F84" t="str">
        <x:v>2025-04-28</x:v>
      </x:c>
      <x:c r="G84" t="str">
        <x:v>2025-04-29</x:v>
      </x:c>
      <x:c r="H84" t="n">
        <x:v>1</x:v>
      </x:c>
      <x:c r="I84" t="str">
        <x:v>Complete</x:v>
      </x:c>
    </x:row>
    <x:row r="85">
      <x:c r="A85" t="str">
        <x:v>P1003-T24</x:v>
      </x:c>
      <x:c r="B85" t="str">
        <x:v>P1003</x:v>
      </x:c>
      <x:c r="C85" t="str">
        <x:v>Instrumentation Phase 4</x:v>
      </x:c>
      <x:c r="D85" t="str">
        <x:v>Instrumentation</x:v>
      </x:c>
      <x:c r="E85" t="str">
        <x:v>2025-04-23</x:v>
      </x:c>
      <x:c r="F85" t="str">
        <x:v>2025-05-13</x:v>
      </x:c>
      <x:c r="G85" t="str">
        <x:v>2025-05-30</x:v>
      </x:c>
      <x:c r="H85" t="n">
        <x:v>1</x:v>
      </x:c>
      <x:c r="I85" t="str">
        <x:v>Complete</x:v>
      </x:c>
    </x:row>
    <x:row r="86">
      <x:c r="A86" t="str">
        <x:v>P1003-T25</x:v>
      </x:c>
      <x:c r="B86" t="str">
        <x:v>P1003</x:v>
      </x:c>
      <x:c r="C86" t="str">
        <x:v>Instrumentation Phase 5</x:v>
      </x:c>
      <x:c r="D86" t="str">
        <x:v>Instrumentation</x:v>
      </x:c>
      <x:c r="E86" t="str">
        <x:v>2025-05-23</x:v>
      </x:c>
      <x:c r="F86" t="str">
        <x:v>2025-06-26</x:v>
      </x:c>
      <x:c r="G86" t="str"/>
      <x:c r="H86" t="n">
        <x:v>0.83</x:v>
      </x:c>
      <x:c r="I86" t="str">
        <x:v>Not Started</x:v>
      </x:c>
    </x:row>
    <x:row r="87">
      <x:c r="A87" t="str">
        <x:v>P1003-T26</x:v>
      </x:c>
      <x:c r="B87" t="str">
        <x:v>P1003</x:v>
      </x:c>
      <x:c r="C87" t="str">
        <x:v>Commissioning Phase 1</x:v>
      </x:c>
      <x:c r="D87" t="str">
        <x:v>Commissioning</x:v>
      </x:c>
      <x:c r="E87" t="str">
        <x:v>2025-01-25</x:v>
      </x:c>
      <x:c r="F87" t="str">
        <x:v>2025-02-23</x:v>
      </x:c>
      <x:c r="G87" t="str">
        <x:v>2025-03-09</x:v>
      </x:c>
      <x:c r="H87" t="n">
        <x:v>1</x:v>
      </x:c>
      <x:c r="I87" t="str">
        <x:v>Complete</x:v>
      </x:c>
    </x:row>
    <x:row r="88">
      <x:c r="A88" t="str">
        <x:v>P1003-T27</x:v>
      </x:c>
      <x:c r="B88" t="str">
        <x:v>P1003</x:v>
      </x:c>
      <x:c r="C88" t="str">
        <x:v>Commissioning Phase 2</x:v>
      </x:c>
      <x:c r="D88" t="str">
        <x:v>Commissioning</x:v>
      </x:c>
      <x:c r="E88" t="str">
        <x:v>2025-02-22</x:v>
      </x:c>
      <x:c r="F88" t="str">
        <x:v>2025-03-21</x:v>
      </x:c>
      <x:c r="G88" t="str">
        <x:v>2025-03-26</x:v>
      </x:c>
      <x:c r="H88" t="n">
        <x:v>1</x:v>
      </x:c>
      <x:c r="I88" t="str">
        <x:v>Complete</x:v>
      </x:c>
    </x:row>
    <x:row r="89">
      <x:c r="A89" t="str">
        <x:v>P1003-T28</x:v>
      </x:c>
      <x:c r="B89" t="str">
        <x:v>P1003</x:v>
      </x:c>
      <x:c r="C89" t="str">
        <x:v>Commissioning Phase 3</x:v>
      </x:c>
      <x:c r="D89" t="str">
        <x:v>Commissioning</x:v>
      </x:c>
      <x:c r="E89" t="str">
        <x:v>2025-03-28</x:v>
      </x:c>
      <x:c r="F89" t="str">
        <x:v>2025-05-07</x:v>
      </x:c>
      <x:c r="G89" t="str"/>
      <x:c r="H89" t="n">
        <x:v>0.27</x:v>
      </x:c>
      <x:c r="I89" t="str">
        <x:v>In Progress</x:v>
      </x:c>
    </x:row>
    <x:row r="90">
      <x:c r="A90" t="str">
        <x:v>P1003-T29</x:v>
      </x:c>
      <x:c r="B90" t="str">
        <x:v>P1003</x:v>
      </x:c>
      <x:c r="C90" t="str">
        <x:v>Commissioning Phase 4</x:v>
      </x:c>
      <x:c r="D90" t="str">
        <x:v>Commissioning</x:v>
      </x:c>
      <x:c r="E90" t="str">
        <x:v>2025-04-18</x:v>
      </x:c>
      <x:c r="F90" t="str">
        <x:v>2025-05-17</x:v>
      </x:c>
      <x:c r="G90" t="str">
        <x:v>2025-06-03</x:v>
      </x:c>
      <x:c r="H90" t="n">
        <x:v>1</x:v>
      </x:c>
      <x:c r="I90" t="str">
        <x:v>Complete</x:v>
      </x:c>
    </x:row>
    <x:row r="91">
      <x:c r="A91" t="str">
        <x:v>P1003-T30</x:v>
      </x:c>
      <x:c r="B91" t="str">
        <x:v>P1003</x:v>
      </x:c>
      <x:c r="C91" t="str">
        <x:v>Commissioning Phase 5</x:v>
      </x:c>
      <x:c r="D91" t="str">
        <x:v>Commissioning</x:v>
      </x:c>
      <x:c r="E91" t="str">
        <x:v>2025-05-15</x:v>
      </x:c>
      <x:c r="F91" t="str">
        <x:v>2025-06-05</x:v>
      </x:c>
      <x:c r="G91" t="str"/>
      <x:c r="H91" t="n">
        <x:v>0.33</x:v>
      </x:c>
      <x:c r="I91" t="str">
        <x:v>Not Started</x:v>
      </x:c>
    </x:row>
    <x:row r="92">
      <x:c r="A92" t="str">
        <x:v>P1004-T01</x:v>
      </x:c>
      <x:c r="B92" t="str">
        <x:v>P1004</x:v>
      </x:c>
      <x:c r="C92" t="str">
        <x:v>Civil Phase 1</x:v>
      </x:c>
      <x:c r="D92" t="str">
        <x:v>Civil</x:v>
      </x:c>
      <x:c r="E92" t="str">
        <x:v>2025-03-14</x:v>
      </x:c>
      <x:c r="F92" t="str">
        <x:v>2025-04-10</x:v>
      </x:c>
      <x:c r="G92" t="str">
        <x:v>2025-04-16</x:v>
      </x:c>
      <x:c r="H92" t="n">
        <x:v>1</x:v>
      </x:c>
      <x:c r="I92" t="str">
        <x:v>Complete</x:v>
      </x:c>
    </x:row>
    <x:row r="93">
      <x:c r="A93" t="str">
        <x:v>P1004-T02</x:v>
      </x:c>
      <x:c r="B93" t="str">
        <x:v>P1004</x:v>
      </x:c>
      <x:c r="C93" t="str">
        <x:v>Civil Phase 2</x:v>
      </x:c>
      <x:c r="D93" t="str">
        <x:v>Civil</x:v>
      </x:c>
      <x:c r="E93" t="str">
        <x:v>2025-04-08</x:v>
      </x:c>
      <x:c r="F93" t="str">
        <x:v>2025-05-04</x:v>
      </x:c>
      <x:c r="G93" t="str"/>
      <x:c r="H93" t="n">
        <x:v>0.75</x:v>
      </x:c>
      <x:c r="I93" t="str">
        <x:v>In Progress</x:v>
      </x:c>
    </x:row>
    <x:row r="94">
      <x:c r="A94" t="str">
        <x:v>P1004-T03</x:v>
      </x:c>
      <x:c r="B94" t="str">
        <x:v>P1004</x:v>
      </x:c>
      <x:c r="C94" t="str">
        <x:v>Civil Phase 3</x:v>
      </x:c>
      <x:c r="D94" t="str">
        <x:v>Civil</x:v>
      </x:c>
      <x:c r="E94" t="str">
        <x:v>2025-05-03</x:v>
      </x:c>
      <x:c r="F94" t="str">
        <x:v>2025-05-27</x:v>
      </x:c>
      <x:c r="G94" t="str"/>
      <x:c r="H94" t="n">
        <x:v>0.41</x:v>
      </x:c>
      <x:c r="I94" t="str">
        <x:v>In Progress</x:v>
      </x:c>
    </x:row>
    <x:row r="95">
      <x:c r="A95" t="str">
        <x:v>P1004-T04</x:v>
      </x:c>
      <x:c r="B95" t="str">
        <x:v>P1004</x:v>
      </x:c>
      <x:c r="C95" t="str">
        <x:v>Civil Phase 4</x:v>
      </x:c>
      <x:c r="D95" t="str">
        <x:v>Civil</x:v>
      </x:c>
      <x:c r="E95" t="str">
        <x:v>2025-06-05</x:v>
      </x:c>
      <x:c r="F95" t="str">
        <x:v>2025-07-04</x:v>
      </x:c>
      <x:c r="G95" t="str"/>
      <x:c r="H95" t="n">
        <x:v>0.81</x:v>
      </x:c>
      <x:c r="I95" t="str">
        <x:v>In Progress</x:v>
      </x:c>
    </x:row>
    <x:row r="96">
      <x:c r="A96" t="str">
        <x:v>P1004-T05</x:v>
      </x:c>
      <x:c r="B96" t="str">
        <x:v>P1004</x:v>
      </x:c>
      <x:c r="C96" t="str">
        <x:v>Civil Phase 5</x:v>
      </x:c>
      <x:c r="D96" t="str">
        <x:v>Civil</x:v>
      </x:c>
      <x:c r="E96" t="str">
        <x:v>2025-07-01</x:v>
      </x:c>
      <x:c r="F96" t="str">
        <x:v>2025-07-27</x:v>
      </x:c>
      <x:c r="G96" t="str">
        <x:v>2025-08-03</x:v>
      </x:c>
      <x:c r="H96" t="n">
        <x:v>1</x:v>
      </x:c>
      <x:c r="I96" t="str">
        <x:v>Complete</x:v>
      </x:c>
    </x:row>
    <x:row r="97">
      <x:c r="A97" t="str">
        <x:v>P1004-T06</x:v>
      </x:c>
      <x:c r="B97" t="str">
        <x:v>P1004</x:v>
      </x:c>
      <x:c r="C97" t="str">
        <x:v>Structural Phase 1</x:v>
      </x:c>
      <x:c r="D97" t="str">
        <x:v>Structural</x:v>
      </x:c>
      <x:c r="E97" t="str">
        <x:v>2025-03-03</x:v>
      </x:c>
      <x:c r="F97" t="str">
        <x:v>2025-04-11</x:v>
      </x:c>
      <x:c r="G97" t="str">
        <x:v>2025-04-18</x:v>
      </x:c>
      <x:c r="H97" t="n">
        <x:v>1</x:v>
      </x:c>
      <x:c r="I97" t="str">
        <x:v>Complete</x:v>
      </x:c>
    </x:row>
    <x:row r="98">
      <x:c r="A98" t="str">
        <x:v>P1004-T07</x:v>
      </x:c>
      <x:c r="B98" t="str">
        <x:v>P1004</x:v>
      </x:c>
      <x:c r="C98" t="str">
        <x:v>Structural Phase 2</x:v>
      </x:c>
      <x:c r="D98" t="str">
        <x:v>Structural</x:v>
      </x:c>
      <x:c r="E98" t="str">
        <x:v>2025-04-05</x:v>
      </x:c>
      <x:c r="F98" t="str">
        <x:v>2025-05-10</x:v>
      </x:c>
      <x:c r="G98" t="str"/>
      <x:c r="H98" t="n">
        <x:v>0.53</x:v>
      </x:c>
      <x:c r="I98" t="str">
        <x:v>Delayed</x:v>
      </x:c>
    </x:row>
    <x:row r="99">
      <x:c r="A99" t="str">
        <x:v>P1004-T08</x:v>
      </x:c>
      <x:c r="B99" t="str">
        <x:v>P1004</x:v>
      </x:c>
      <x:c r="C99" t="str">
        <x:v>Structural Phase 3</x:v>
      </x:c>
      <x:c r="D99" t="str">
        <x:v>Structural</x:v>
      </x:c>
      <x:c r="E99" t="str">
        <x:v>2025-05-02</x:v>
      </x:c>
      <x:c r="F99" t="str">
        <x:v>2025-06-01</x:v>
      </x:c>
      <x:c r="G99" t="str"/>
      <x:c r="H99" t="n">
        <x:v>0.26</x:v>
      </x:c>
      <x:c r="I99" t="str">
        <x:v>Delayed</x:v>
      </x:c>
    </x:row>
    <x:row r="100">
      <x:c r="A100" t="str">
        <x:v>P1004-T09</x:v>
      </x:c>
      <x:c r="B100" t="str">
        <x:v>P1004</x:v>
      </x:c>
      <x:c r="C100" t="str">
        <x:v>Structural Phase 4</x:v>
      </x:c>
      <x:c r="D100" t="str">
        <x:v>Structural</x:v>
      </x:c>
      <x:c r="E100" t="str">
        <x:v>2025-05-31</x:v>
      </x:c>
      <x:c r="F100" t="str">
        <x:v>2025-07-05</x:v>
      </x:c>
      <x:c r="G100" t="str"/>
      <x:c r="H100" t="n">
        <x:v>0.49</x:v>
      </x:c>
      <x:c r="I100" t="str">
        <x:v>Delayed</x:v>
      </x:c>
    </x:row>
    <x:row r="101">
      <x:c r="A101" t="str">
        <x:v>P1004-T10</x:v>
      </x:c>
      <x:c r="B101" t="str">
        <x:v>P1004</x:v>
      </x:c>
      <x:c r="C101" t="str">
        <x:v>Structural Phase 5</x:v>
      </x:c>
      <x:c r="D101" t="str">
        <x:v>Structural</x:v>
      </x:c>
      <x:c r="E101" t="str">
        <x:v>2025-06-23</x:v>
      </x:c>
      <x:c r="F101" t="str">
        <x:v>2025-07-27</x:v>
      </x:c>
      <x:c r="G101" t="str"/>
      <x:c r="H101" t="n">
        <x:v>0.58</x:v>
      </x:c>
      <x:c r="I101" t="str">
        <x:v>In Progress</x:v>
      </x:c>
    </x:row>
    <x:row r="102">
      <x:c r="A102" t="str">
        <x:v>P1004-T11</x:v>
      </x:c>
      <x:c r="B102" t="str">
        <x:v>P1004</x:v>
      </x:c>
      <x:c r="C102" t="str">
        <x:v>Mechanical Phase 1</x:v>
      </x:c>
      <x:c r="D102" t="str">
        <x:v>Mechanical</x:v>
      </x:c>
      <x:c r="E102" t="str">
        <x:v>2025-03-08</x:v>
      </x:c>
      <x:c r="F102" t="str">
        <x:v>2025-04-10</x:v>
      </x:c>
      <x:c r="G102" t="str"/>
      <x:c r="H102" t="n">
        <x:v>0.83</x:v>
      </x:c>
      <x:c r="I102" t="str">
        <x:v>In Progress</x:v>
      </x:c>
    </x:row>
    <x:row r="103">
      <x:c r="A103" t="str">
        <x:v>P1004-T12</x:v>
      </x:c>
      <x:c r="B103" t="str">
        <x:v>P1004</x:v>
      </x:c>
      <x:c r="C103" t="str">
        <x:v>Mechanical Phase 2</x:v>
      </x:c>
      <x:c r="D103" t="str">
        <x:v>Mechanical</x:v>
      </x:c>
      <x:c r="E103" t="str">
        <x:v>2025-04-09</x:v>
      </x:c>
      <x:c r="F103" t="str">
        <x:v>2025-05-17</x:v>
      </x:c>
      <x:c r="G103" t="str">
        <x:v>2025-05-21</x:v>
      </x:c>
      <x:c r="H103" t="n">
        <x:v>1</x:v>
      </x:c>
      <x:c r="I103" t="str">
        <x:v>Complete</x:v>
      </x:c>
    </x:row>
    <x:row r="104">
      <x:c r="A104" t="str">
        <x:v>P1004-T13</x:v>
      </x:c>
      <x:c r="B104" t="str">
        <x:v>P1004</x:v>
      </x:c>
      <x:c r="C104" t="str">
        <x:v>Mechanical Phase 3</x:v>
      </x:c>
      <x:c r="D104" t="str">
        <x:v>Mechanical</x:v>
      </x:c>
      <x:c r="E104" t="str">
        <x:v>2025-05-06</x:v>
      </x:c>
      <x:c r="F104" t="str">
        <x:v>2025-06-14</x:v>
      </x:c>
      <x:c r="G104" t="str">
        <x:v>2025-06-20</x:v>
      </x:c>
      <x:c r="H104" t="n">
        <x:v>1</x:v>
      </x:c>
      <x:c r="I104" t="str">
        <x:v>Complete</x:v>
      </x:c>
    </x:row>
    <x:row r="105">
      <x:c r="A105" t="str">
        <x:v>P1004-T14</x:v>
      </x:c>
      <x:c r="B105" t="str">
        <x:v>P1004</x:v>
      </x:c>
      <x:c r="C105" t="str">
        <x:v>Mechanical Phase 4</x:v>
      </x:c>
      <x:c r="D105" t="str">
        <x:v>Mechanical</x:v>
      </x:c>
      <x:c r="E105" t="str">
        <x:v>2025-05-29</x:v>
      </x:c>
      <x:c r="F105" t="str">
        <x:v>2025-06-26</x:v>
      </x:c>
      <x:c r="G105" t="str"/>
      <x:c r="H105" t="n">
        <x:v>0.74</x:v>
      </x:c>
      <x:c r="I105" t="str">
        <x:v>In Progress</x:v>
      </x:c>
    </x:row>
    <x:row r="106">
      <x:c r="A106" t="str">
        <x:v>P1004-T15</x:v>
      </x:c>
      <x:c r="B106" t="str">
        <x:v>P1004</x:v>
      </x:c>
      <x:c r="C106" t="str">
        <x:v>Mechanical Phase 5</x:v>
      </x:c>
      <x:c r="D106" t="str">
        <x:v>Mechanical</x:v>
      </x:c>
      <x:c r="E106" t="str">
        <x:v>2025-07-02</x:v>
      </x:c>
      <x:c r="F106" t="str">
        <x:v>2025-08-08</x:v>
      </x:c>
      <x:c r="G106" t="str"/>
      <x:c r="H106" t="n">
        <x:v>0.19</x:v>
      </x:c>
      <x:c r="I106" t="str">
        <x:v>In Progress</x:v>
      </x:c>
    </x:row>
    <x:row r="107">
      <x:c r="A107" t="str">
        <x:v>P1004-T16</x:v>
      </x:c>
      <x:c r="B107" t="str">
        <x:v>P1004</x:v>
      </x:c>
      <x:c r="C107" t="str">
        <x:v>Electrical Phase 1</x:v>
      </x:c>
      <x:c r="D107" t="str">
        <x:v>Electrical</x:v>
      </x:c>
      <x:c r="E107" t="str">
        <x:v>2025-03-14</x:v>
      </x:c>
      <x:c r="F107" t="str">
        <x:v>2025-04-18</x:v>
      </x:c>
      <x:c r="G107" t="str">
        <x:v>2025-04-23</x:v>
      </x:c>
      <x:c r="H107" t="n">
        <x:v>1</x:v>
      </x:c>
      <x:c r="I107" t="str">
        <x:v>Complete</x:v>
      </x:c>
    </x:row>
    <x:row r="108">
      <x:c r="A108" t="str">
        <x:v>P1004-T17</x:v>
      </x:c>
      <x:c r="B108" t="str">
        <x:v>P1004</x:v>
      </x:c>
      <x:c r="C108" t="str">
        <x:v>Electrical Phase 2</x:v>
      </x:c>
      <x:c r="D108" t="str">
        <x:v>Electrical</x:v>
      </x:c>
      <x:c r="E108" t="str">
        <x:v>2025-04-06</x:v>
      </x:c>
      <x:c r="F108" t="str">
        <x:v>2025-05-17</x:v>
      </x:c>
      <x:c r="G108" t="str"/>
      <x:c r="H108" t="n">
        <x:v>0.39</x:v>
      </x:c>
      <x:c r="I108" t="str">
        <x:v>In Progress</x:v>
      </x:c>
    </x:row>
    <x:row r="109">
      <x:c r="A109" t="str">
        <x:v>P1004-T18</x:v>
      </x:c>
      <x:c r="B109" t="str">
        <x:v>P1004</x:v>
      </x:c>
      <x:c r="C109" t="str">
        <x:v>Electrical Phase 3</x:v>
      </x:c>
      <x:c r="D109" t="str">
        <x:v>Electrical</x:v>
      </x:c>
      <x:c r="E109" t="str">
        <x:v>2025-05-09</x:v>
      </x:c>
      <x:c r="F109" t="str">
        <x:v>2025-06-08</x:v>
      </x:c>
      <x:c r="G109" t="str"/>
      <x:c r="H109" t="n">
        <x:v>0.38</x:v>
      </x:c>
      <x:c r="I109" t="str">
        <x:v>Delayed</x:v>
      </x:c>
    </x:row>
    <x:row r="110">
      <x:c r="A110" t="str">
        <x:v>P1004-T19</x:v>
      </x:c>
      <x:c r="B110" t="str">
        <x:v>P1004</x:v>
      </x:c>
      <x:c r="C110" t="str">
        <x:v>Electrical Phase 4</x:v>
      </x:c>
      <x:c r="D110" t="str">
        <x:v>Electrical</x:v>
      </x:c>
      <x:c r="E110" t="str">
        <x:v>2025-05-27</x:v>
      </x:c>
      <x:c r="F110" t="str">
        <x:v>2025-06-25</x:v>
      </x:c>
      <x:c r="G110" t="str">
        <x:v>2025-06-29</x:v>
      </x:c>
      <x:c r="H110" t="n">
        <x:v>1</x:v>
      </x:c>
      <x:c r="I110" t="str">
        <x:v>Complete</x:v>
      </x:c>
    </x:row>
    <x:row r="111">
      <x:c r="A111" t="str">
        <x:v>P1004-T20</x:v>
      </x:c>
      <x:c r="B111" t="str">
        <x:v>P1004</x:v>
      </x:c>
      <x:c r="C111" t="str">
        <x:v>Electrical Phase 5</x:v>
      </x:c>
      <x:c r="D111" t="str">
        <x:v>Electrical</x:v>
      </x:c>
      <x:c r="E111" t="str">
        <x:v>2025-06-30</x:v>
      </x:c>
      <x:c r="F111" t="str">
        <x:v>2025-08-10</x:v>
      </x:c>
      <x:c r="G111" t="str"/>
      <x:c r="H111" t="n">
        <x:v>0.77</x:v>
      </x:c>
      <x:c r="I111" t="str">
        <x:v>In Progress</x:v>
      </x:c>
    </x:row>
    <x:row r="112">
      <x:c r="A112" t="str">
        <x:v>P1004-T21</x:v>
      </x:c>
      <x:c r="B112" t="str">
        <x:v>P1004</x:v>
      </x:c>
      <x:c r="C112" t="str">
        <x:v>Instrumentation Phase 1</x:v>
      </x:c>
      <x:c r="D112" t="str">
        <x:v>Instrumentation</x:v>
      </x:c>
      <x:c r="E112" t="str">
        <x:v>2025-03-07</x:v>
      </x:c>
      <x:c r="F112" t="str">
        <x:v>2025-03-29</x:v>
      </x:c>
      <x:c r="G112" t="str"/>
      <x:c r="H112" t="n">
        <x:v>0.46</x:v>
      </x:c>
      <x:c r="I112" t="str">
        <x:v>Delayed</x:v>
      </x:c>
    </x:row>
    <x:row r="113">
      <x:c r="A113" t="str">
        <x:v>P1004-T22</x:v>
      </x:c>
      <x:c r="B113" t="str">
        <x:v>P1004</x:v>
      </x:c>
      <x:c r="C113" t="str">
        <x:v>Instrumentation Phase 2</x:v>
      </x:c>
      <x:c r="D113" t="str">
        <x:v>Instrumentation</x:v>
      </x:c>
      <x:c r="E113" t="str">
        <x:v>2025-04-10</x:v>
      </x:c>
      <x:c r="F113" t="str">
        <x:v>2025-05-19</x:v>
      </x:c>
      <x:c r="G113" t="str"/>
      <x:c r="H113" t="n">
        <x:v>0.7</x:v>
      </x:c>
      <x:c r="I113" t="str">
        <x:v>In Progress</x:v>
      </x:c>
    </x:row>
    <x:row r="114">
      <x:c r="A114" t="str">
        <x:v>P1004-T23</x:v>
      </x:c>
      <x:c r="B114" t="str">
        <x:v>P1004</x:v>
      </x:c>
      <x:c r="C114" t="str">
        <x:v>Instrumentation Phase 3</x:v>
      </x:c>
      <x:c r="D114" t="str">
        <x:v>Instrumentation</x:v>
      </x:c>
      <x:c r="E114" t="str">
        <x:v>2025-05-01</x:v>
      </x:c>
      <x:c r="F114" t="str">
        <x:v>2025-06-11</x:v>
      </x:c>
      <x:c r="G114" t="str">
        <x:v>2025-06-11</x:v>
      </x:c>
      <x:c r="H114" t="n">
        <x:v>1</x:v>
      </x:c>
      <x:c r="I114" t="str">
        <x:v>Complete</x:v>
      </x:c>
    </x:row>
    <x:row r="115">
      <x:c r="A115" t="str">
        <x:v>P1004-T24</x:v>
      </x:c>
      <x:c r="B115" t="str">
        <x:v>P1004</x:v>
      </x:c>
      <x:c r="C115" t="str">
        <x:v>Instrumentation Phase 4</x:v>
      </x:c>
      <x:c r="D115" t="str">
        <x:v>Instrumentation</x:v>
      </x:c>
      <x:c r="E115" t="str">
        <x:v>2025-05-27</x:v>
      </x:c>
      <x:c r="F115" t="str">
        <x:v>2025-06-25</x:v>
      </x:c>
      <x:c r="G115" t="str"/>
      <x:c r="H115" t="n">
        <x:v>0.63</x:v>
      </x:c>
      <x:c r="I115" t="str">
        <x:v>In Progress</x:v>
      </x:c>
    </x:row>
    <x:row r="116">
      <x:c r="A116" t="str">
        <x:v>P1004-T25</x:v>
      </x:c>
      <x:c r="B116" t="str">
        <x:v>P1004</x:v>
      </x:c>
      <x:c r="C116" t="str">
        <x:v>Instrumentation Phase 5</x:v>
      </x:c>
      <x:c r="D116" t="str">
        <x:v>Instrumentation</x:v>
      </x:c>
      <x:c r="E116" t="str">
        <x:v>2025-07-04</x:v>
      </x:c>
      <x:c r="F116" t="str">
        <x:v>2025-08-14</x:v>
      </x:c>
      <x:c r="G116" t="str">
        <x:v>2025-08-16</x:v>
      </x:c>
      <x:c r="H116" t="n">
        <x:v>1</x:v>
      </x:c>
      <x:c r="I116" t="str">
        <x:v>Complete</x:v>
      </x:c>
    </x:row>
    <x:row r="117">
      <x:c r="A117" t="str">
        <x:v>P1004-T26</x:v>
      </x:c>
      <x:c r="B117" t="str">
        <x:v>P1004</x:v>
      </x:c>
      <x:c r="C117" t="str">
        <x:v>Commissioning Phase 1</x:v>
      </x:c>
      <x:c r="D117" t="str">
        <x:v>Commissioning</x:v>
      </x:c>
      <x:c r="E117" t="str">
        <x:v>2025-03-06</x:v>
      </x:c>
      <x:c r="F117" t="str">
        <x:v>2025-03-28</x:v>
      </x:c>
      <x:c r="G117" t="str">
        <x:v>2025-03-31</x:v>
      </x:c>
      <x:c r="H117" t="n">
        <x:v>1</x:v>
      </x:c>
      <x:c r="I117" t="str">
        <x:v>Complete</x:v>
      </x:c>
    </x:row>
    <x:row r="118">
      <x:c r="A118" t="str">
        <x:v>P1004-T27</x:v>
      </x:c>
      <x:c r="B118" t="str">
        <x:v>P1004</x:v>
      </x:c>
      <x:c r="C118" t="str">
        <x:v>Commissioning Phase 2</x:v>
      </x:c>
      <x:c r="D118" t="str">
        <x:v>Commissioning</x:v>
      </x:c>
      <x:c r="E118" t="str">
        <x:v>2025-04-05</x:v>
      </x:c>
      <x:c r="F118" t="str">
        <x:v>2025-05-12</x:v>
      </x:c>
      <x:c r="G118" t="str">
        <x:v>2025-05-16</x:v>
      </x:c>
      <x:c r="H118" t="n">
        <x:v>1</x:v>
      </x:c>
      <x:c r="I118" t="str">
        <x:v>Complete</x:v>
      </x:c>
    </x:row>
    <x:row r="119">
      <x:c r="A119" t="str">
        <x:v>P1004-T28</x:v>
      </x:c>
      <x:c r="B119" t="str">
        <x:v>P1004</x:v>
      </x:c>
      <x:c r="C119" t="str">
        <x:v>Commissioning Phase 3</x:v>
      </x:c>
      <x:c r="D119" t="str">
        <x:v>Commissioning</x:v>
      </x:c>
      <x:c r="E119" t="str">
        <x:v>2025-04-30</x:v>
      </x:c>
      <x:c r="F119" t="str">
        <x:v>2025-06-04</x:v>
      </x:c>
      <x:c r="G119" t="str"/>
      <x:c r="H119" t="n">
        <x:v>0.58</x:v>
      </x:c>
      <x:c r="I119" t="str">
        <x:v>Not Started</x:v>
      </x:c>
    </x:row>
    <x:row r="120">
      <x:c r="A120" t="str">
        <x:v>P1004-T29</x:v>
      </x:c>
      <x:c r="B120" t="str">
        <x:v>P1004</x:v>
      </x:c>
      <x:c r="C120" t="str">
        <x:v>Commissioning Phase 4</x:v>
      </x:c>
      <x:c r="D120" t="str">
        <x:v>Commissioning</x:v>
      </x:c>
      <x:c r="E120" t="str">
        <x:v>2025-06-01</x:v>
      </x:c>
      <x:c r="F120" t="str">
        <x:v>2025-07-01</x:v>
      </x:c>
      <x:c r="G120" t="str"/>
      <x:c r="H120" t="n">
        <x:v>0.72</x:v>
      </x:c>
      <x:c r="I120" t="str">
        <x:v>Not Started</x:v>
      </x:c>
    </x:row>
    <x:row r="121">
      <x:c r="A121" t="str">
        <x:v>P1004-T30</x:v>
      </x:c>
      <x:c r="B121" t="str">
        <x:v>P1004</x:v>
      </x:c>
      <x:c r="C121" t="str">
        <x:v>Commissioning Phase 5</x:v>
      </x:c>
      <x:c r="D121" t="str">
        <x:v>Commissioning</x:v>
      </x:c>
      <x:c r="E121" t="str">
        <x:v>2025-06-24</x:v>
      </x:c>
      <x:c r="F121" t="str">
        <x:v>2025-07-25</x:v>
      </x:c>
      <x:c r="G121" t="str">
        <x:v>2025-07-27</x:v>
      </x:c>
      <x:c r="H121" t="n">
        <x:v>1</x:v>
      </x:c>
      <x:c r="I121" t="str">
        <x:v>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9db91dc697fb41a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</x:cols>
  <x:sheetData>
    <x:row r="1">
      <x:c r="A1" s="2" t="str">
        <x:v>project_id</x:v>
      </x:c>
      <x:c r="B1" s="2" t="str">
        <x:v>task_id</x:v>
      </x:c>
      <x:c r="C1" s="2" t="str">
        <x:v>cost_category</x:v>
      </x:c>
      <x:c r="D1" s="3" t="str">
        <x:v>planned_cost</x:v>
      </x:c>
      <x:c r="E1" s="3" t="str">
        <x:v>actual_cost</x:v>
      </x:c>
      <x:c r="F1" s="3" t="str">
        <x:v>cost_variance</x:v>
      </x:c>
    </x:row>
    <x:row r="2">
      <x:c r="A2" t="str">
        <x:v>P1001</x:v>
      </x:c>
      <x:c r="B2" t="str">
        <x:v>P1001-T01</x:v>
      </x:c>
      <x:c r="C2" t="str">
        <x:v>Civil</x:v>
      </x:c>
      <x:c r="D2" t="n">
        <x:v>320975.34</x:v>
      </x:c>
      <x:c r="E2" t="n">
        <x:v>326388.46</x:v>
      </x:c>
      <x:c r="F2" t="n">
        <x:v>-5413.119999999995</x:v>
      </x:c>
    </x:row>
    <x:row r="3">
      <x:c r="A3" t="str">
        <x:v>P1001</x:v>
      </x:c>
      <x:c r="B3" t="str">
        <x:v>P1001-T02</x:v>
      </x:c>
      <x:c r="C3" t="str">
        <x:v>Civil</x:v>
      </x:c>
      <x:c r="D3" t="n">
        <x:v>386345.64</x:v>
      </x:c>
      <x:c r="E3" t="n">
        <x:v>345179.96</x:v>
      </x:c>
      <x:c r="F3" t="n">
        <x:v>41165.67999999999</x:v>
      </x:c>
    </x:row>
    <x:row r="4">
      <x:c r="A4" t="str">
        <x:v>P1001</x:v>
      </x:c>
      <x:c r="B4" t="str">
        <x:v>P1001-T03</x:v>
      </x:c>
      <x:c r="C4" t="str">
        <x:v>Civil</x:v>
      </x:c>
      <x:c r="D4" t="n">
        <x:v>380646.8</x:v>
      </x:c>
      <x:c r="E4" t="n">
        <x:v>500730.36</x:v>
      </x:c>
      <x:c r="F4" t="n">
        <x:v>-120083.56</x:v>
      </x:c>
    </x:row>
    <x:row r="5">
      <x:c r="A5" t="str">
        <x:v>P1001</x:v>
      </x:c>
      <x:c r="B5" t="str">
        <x:v>P1001-T04</x:v>
      </x:c>
      <x:c r="C5" t="str">
        <x:v>Civil</x:v>
      </x:c>
      <x:c r="D5" t="n">
        <x:v>275701.91</x:v>
      </x:c>
      <x:c r="E5" t="n">
        <x:v>268648.91</x:v>
      </x:c>
      <x:c r="F5" t="n">
        <x:v>7053</x:v>
      </x:c>
    </x:row>
    <x:row r="6">
      <x:c r="A6" t="str">
        <x:v>P1001</x:v>
      </x:c>
      <x:c r="B6" t="str">
        <x:v>P1001-T05</x:v>
      </x:c>
      <x:c r="C6" t="str">
        <x:v>Civil</x:v>
      </x:c>
      <x:c r="D6" t="n">
        <x:v>298841.96</x:v>
      </x:c>
      <x:c r="E6" t="n">
        <x:v>353855.12</x:v>
      </x:c>
      <x:c r="F6" t="n">
        <x:v>-55013.159999999974</x:v>
      </x:c>
    </x:row>
    <x:row r="7">
      <x:c r="A7" t="str">
        <x:v>P1001</x:v>
      </x:c>
      <x:c r="B7" t="str">
        <x:v>P1001-T06</x:v>
      </x:c>
      <x:c r="C7" t="str">
        <x:v>Structural</x:v>
      </x:c>
      <x:c r="D7" t="n">
        <x:v>250701.82</x:v>
      </x:c>
      <x:c r="E7" t="n">
        <x:v>235372.82</x:v>
      </x:c>
      <x:c r="F7" t="n">
        <x:v>15329</x:v>
      </x:c>
    </x:row>
    <x:row r="8">
      <x:c r="A8" t="str">
        <x:v>P1001</x:v>
      </x:c>
      <x:c r="B8" t="str">
        <x:v>P1001-T07</x:v>
      </x:c>
      <x:c r="C8" t="str">
        <x:v>Structural</x:v>
      </x:c>
      <x:c r="D8" t="n">
        <x:v>334930.12</x:v>
      </x:c>
      <x:c r="E8" t="n">
        <x:v>356141.24</x:v>
      </x:c>
      <x:c r="F8" t="n">
        <x:v>-21211.119999999995</x:v>
      </x:c>
    </x:row>
    <x:row r="9">
      <x:c r="A9" t="str">
        <x:v>P1001</x:v>
      </x:c>
      <x:c r="B9" t="str">
        <x:v>P1001-T08</x:v>
      </x:c>
      <x:c r="C9" t="str">
        <x:v>Structural</x:v>
      </x:c>
      <x:c r="D9" t="n">
        <x:v>233250.21</x:v>
      </x:c>
      <x:c r="E9" t="n">
        <x:v>207849.67</x:v>
      </x:c>
      <x:c r="F9" t="n">
        <x:v>25400.53999999998</x:v>
      </x:c>
    </x:row>
    <x:row r="10">
      <x:c r="A10" t="str">
        <x:v>P1001</x:v>
      </x:c>
      <x:c r="B10" t="str">
        <x:v>P1001-T09</x:v>
      </x:c>
      <x:c r="C10" t="str">
        <x:v>Structural</x:v>
      </x:c>
      <x:c r="D10" t="n">
        <x:v>278242.01</x:v>
      </x:c>
      <x:c r="E10" t="n">
        <x:v>300564.41</x:v>
      </x:c>
      <x:c r="F10" t="n">
        <x:v>-22322.399999999965</x:v>
      </x:c>
    </x:row>
    <x:row r="11">
      <x:c r="A11" t="str">
        <x:v>P1001</x:v>
      </x:c>
      <x:c r="B11" t="str">
        <x:v>P1001-T10</x:v>
      </x:c>
      <x:c r="C11" t="str">
        <x:v>Structural</x:v>
      </x:c>
      <x:c r="D11" t="n">
        <x:v>183945.24</x:v>
      </x:c>
      <x:c r="E11" t="n">
        <x:v>198251</x:v>
      </x:c>
      <x:c r="F11" t="n">
        <x:v>-14305.76000000001</x:v>
      </x:c>
    </x:row>
    <x:row r="12">
      <x:c r="A12" t="str">
        <x:v>P1001</x:v>
      </x:c>
      <x:c r="B12" t="str">
        <x:v>P1001-T11</x:v>
      </x:c>
      <x:c r="C12" t="str">
        <x:v>Mechanical</x:v>
      </x:c>
      <x:c r="D12" t="n">
        <x:v>342831.17</x:v>
      </x:c>
      <x:c r="E12" t="n">
        <x:v>409323.33</x:v>
      </x:c>
      <x:c r="F12" t="n">
        <x:v>-66492.16000000003</x:v>
      </x:c>
    </x:row>
    <x:row r="13">
      <x:c r="A13" t="str">
        <x:v>P1001</x:v>
      </x:c>
      <x:c r="B13" t="str">
        <x:v>P1001-T12</x:v>
      </x:c>
      <x:c r="C13" t="str">
        <x:v>Mechanical</x:v>
      </x:c>
      <x:c r="D13" t="n">
        <x:v>302550.95</x:v>
      </x:c>
      <x:c r="E13" t="n">
        <x:v>307750.69</x:v>
      </x:c>
      <x:c r="F13" t="n">
        <x:v>-5199.739999999991</x:v>
      </x:c>
    </x:row>
    <x:row r="14">
      <x:c r="A14" t="str">
        <x:v>P1001</x:v>
      </x:c>
      <x:c r="B14" t="str">
        <x:v>P1001-T13</x:v>
      </x:c>
      <x:c r="C14" t="str">
        <x:v>Mechanical</x:v>
      </x:c>
      <x:c r="D14" t="n">
        <x:v>357950.09</x:v>
      </x:c>
      <x:c r="E14" t="n">
        <x:v>398958.92</x:v>
      </x:c>
      <x:c r="F14" t="n">
        <x:v>-41008.82999999996</x:v>
      </x:c>
    </x:row>
    <x:row r="15">
      <x:c r="A15" t="str">
        <x:v>P1001</x:v>
      </x:c>
      <x:c r="B15" t="str">
        <x:v>P1001-T14</x:v>
      </x:c>
      <x:c r="C15" t="str">
        <x:v>Mechanical</x:v>
      </x:c>
      <x:c r="D15" t="n">
        <x:v>335614.96</x:v>
      </x:c>
      <x:c r="E15" t="n">
        <x:v>320557.66</x:v>
      </x:c>
      <x:c r="F15" t="n">
        <x:v>15057.300000000047</x:v>
      </x:c>
    </x:row>
    <x:row r="16">
      <x:c r="A16" t="str">
        <x:v>P1001</x:v>
      </x:c>
      <x:c r="B16" t="str">
        <x:v>P1001-T15</x:v>
      </x:c>
      <x:c r="C16" t="str">
        <x:v>Mechanical</x:v>
      </x:c>
      <x:c r="D16" t="n">
        <x:v>246284.36</x:v>
      </x:c>
      <x:c r="E16" t="n">
        <x:v>254444.66</x:v>
      </x:c>
      <x:c r="F16" t="n">
        <x:v>-8160.3000000000175</x:v>
      </x:c>
    </x:row>
    <x:row r="17">
      <x:c r="A17" t="str">
        <x:v>P1001</x:v>
      </x:c>
      <x:c r="B17" t="str">
        <x:v>P1001-T16</x:v>
      </x:c>
      <x:c r="C17" t="str">
        <x:v>Electrical</x:v>
      </x:c>
      <x:c r="D17" t="n">
        <x:v>261736.88</x:v>
      </x:c>
      <x:c r="E17" t="n">
        <x:v>257213.03</x:v>
      </x:c>
      <x:c r="F17" t="n">
        <x:v>4523.850000000006</x:v>
      </x:c>
    </x:row>
    <x:row r="18">
      <x:c r="A18" t="str">
        <x:v>P1001</x:v>
      </x:c>
      <x:c r="B18" t="str">
        <x:v>P1001-T17</x:v>
      </x:c>
      <x:c r="C18" t="str">
        <x:v>Electrical</x:v>
      </x:c>
      <x:c r="D18" t="n">
        <x:v>290700.85</x:v>
      </x:c>
      <x:c r="E18" t="n">
        <x:v>296380.2</x:v>
      </x:c>
      <x:c r="F18" t="n">
        <x:v>-5679.350000000035</x:v>
      </x:c>
    </x:row>
    <x:row r="19">
      <x:c r="A19" t="str">
        <x:v>P1001</x:v>
      </x:c>
      <x:c r="B19" t="str">
        <x:v>P1001-T18</x:v>
      </x:c>
      <x:c r="C19" t="str">
        <x:v>Electrical</x:v>
      </x:c>
      <x:c r="D19" t="n">
        <x:v>299065.77</x:v>
      </x:c>
      <x:c r="E19" t="n">
        <x:v>301299.14</x:v>
      </x:c>
      <x:c r="F19" t="n">
        <x:v>-2233.3699999999953</x:v>
      </x:c>
    </x:row>
    <x:row r="20">
      <x:c r="A20" t="str">
        <x:v>P1001</x:v>
      </x:c>
      <x:c r="B20" t="str">
        <x:v>P1001-T19</x:v>
      </x:c>
      <x:c r="C20" t="str">
        <x:v>Electrical</x:v>
      </x:c>
      <x:c r="D20" t="n">
        <x:v>282824.8</x:v>
      </x:c>
      <x:c r="E20" t="n">
        <x:v>320084.22</x:v>
      </x:c>
      <x:c r="F20" t="n">
        <x:v>-37259.419999999984</x:v>
      </x:c>
    </x:row>
    <x:row r="21">
      <x:c r="A21" t="str">
        <x:v>P1001</x:v>
      </x:c>
      <x:c r="B21" t="str">
        <x:v>P1001-T20</x:v>
      </x:c>
      <x:c r="C21" t="str">
        <x:v>Electrical</x:v>
      </x:c>
      <x:c r="D21" t="n">
        <x:v>331064.61</x:v>
      </x:c>
      <x:c r="E21" t="n">
        <x:v>399991.85</x:v>
      </x:c>
      <x:c r="F21" t="n">
        <x:v>-68927.23999999999</x:v>
      </x:c>
    </x:row>
    <x:row r="22">
      <x:c r="A22" t="str">
        <x:v>P1001</x:v>
      </x:c>
      <x:c r="B22" t="str">
        <x:v>P1001-T21</x:v>
      </x:c>
      <x:c r="C22" t="str">
        <x:v>Instrumentation</x:v>
      </x:c>
      <x:c r="D22" t="n">
        <x:v>216207.89</x:v>
      </x:c>
      <x:c r="E22" t="n">
        <x:v>225136.81</x:v>
      </x:c>
      <x:c r="F22" t="n">
        <x:v>-8928.919999999984</x:v>
      </x:c>
    </x:row>
    <x:row r="23">
      <x:c r="A23" t="str">
        <x:v>P1001</x:v>
      </x:c>
      <x:c r="B23" t="str">
        <x:v>P1001-T22</x:v>
      </x:c>
      <x:c r="C23" t="str">
        <x:v>Instrumentation</x:v>
      </x:c>
      <x:c r="D23" t="n">
        <x:v>372491.24</x:v>
      </x:c>
      <x:c r="E23" t="n">
        <x:v>361826.99</x:v>
      </x:c>
      <x:c r="F23" t="n">
        <x:v>10664.25</x:v>
      </x:c>
    </x:row>
    <x:row r="24">
      <x:c r="A24" t="str">
        <x:v>P1001</x:v>
      </x:c>
      <x:c r="B24" t="str">
        <x:v>P1001-T23</x:v>
      </x:c>
      <x:c r="C24" t="str">
        <x:v>Instrumentation</x:v>
      </x:c>
      <x:c r="D24" t="n">
        <x:v>328423.02</x:v>
      </x:c>
      <x:c r="E24" t="n">
        <x:v>342151.75</x:v>
      </x:c>
      <x:c r="F24" t="n">
        <x:v>-13728.729999999981</x:v>
      </x:c>
    </x:row>
    <x:row r="25">
      <x:c r="A25" t="str">
        <x:v>P1001</x:v>
      </x:c>
      <x:c r="B25" t="str">
        <x:v>P1001-T24</x:v>
      </x:c>
      <x:c r="C25" t="str">
        <x:v>Instrumentation</x:v>
      </x:c>
      <x:c r="D25" t="n">
        <x:v>183133.62</x:v>
      </x:c>
      <x:c r="E25" t="n">
        <x:v>227067.95</x:v>
      </x:c>
      <x:c r="F25" t="n">
        <x:v>-43934.330000000016</x:v>
      </x:c>
    </x:row>
    <x:row r="26">
      <x:c r="A26" t="str">
        <x:v>P1001</x:v>
      </x:c>
      <x:c r="B26" t="str">
        <x:v>P1001-T25</x:v>
      </x:c>
      <x:c r="C26" t="str">
        <x:v>Instrumentation</x:v>
      </x:c>
      <x:c r="D26" t="n">
        <x:v>312432.04</x:v>
      </x:c>
      <x:c r="E26" t="n">
        <x:v>398302.44</x:v>
      </x:c>
      <x:c r="F26" t="n">
        <x:v>-85870.40000000002</x:v>
      </x:c>
    </x:row>
    <x:row r="27">
      <x:c r="A27" t="str">
        <x:v>P1001</x:v>
      </x:c>
      <x:c r="B27" t="str">
        <x:v>P1001-T26</x:v>
      </x:c>
      <x:c r="C27" t="str">
        <x:v>Commissioning</x:v>
      </x:c>
      <x:c r="D27" t="n">
        <x:v>347097.87</x:v>
      </x:c>
      <x:c r="E27" t="n">
        <x:v>354980.62</x:v>
      </x:c>
      <x:c r="F27" t="n">
        <x:v>-7882.75</x:v>
      </x:c>
    </x:row>
    <x:row r="28">
      <x:c r="A28" t="str">
        <x:v>P1001</x:v>
      </x:c>
      <x:c r="B28" t="str">
        <x:v>P1001-T27</x:v>
      </x:c>
      <x:c r="C28" t="str">
        <x:v>Commissioning</x:v>
      </x:c>
      <x:c r="D28" t="n">
        <x:v>372195.42</x:v>
      </x:c>
      <x:c r="E28" t="n">
        <x:v>397485.62</x:v>
      </x:c>
      <x:c r="F28" t="n">
        <x:v>-25290.20000000001</x:v>
      </x:c>
    </x:row>
    <x:row r="29">
      <x:c r="A29" t="str">
        <x:v>P1001</x:v>
      </x:c>
      <x:c r="B29" t="str">
        <x:v>P1001-T28</x:v>
      </x:c>
      <x:c r="C29" t="str">
        <x:v>Commissioning</x:v>
      </x:c>
      <x:c r="D29" t="n">
        <x:v>367084.51</x:v>
      </x:c>
      <x:c r="E29" t="n">
        <x:v>351543.15</x:v>
      </x:c>
      <x:c r="F29" t="n">
        <x:v>15541.359999999986</x:v>
      </x:c>
    </x:row>
    <x:row r="30">
      <x:c r="A30" t="str">
        <x:v>P1001</x:v>
      </x:c>
      <x:c r="B30" t="str">
        <x:v>P1001-T29</x:v>
      </x:c>
      <x:c r="C30" t="str">
        <x:v>Commissioning</x:v>
      </x:c>
      <x:c r="D30" t="n">
        <x:v>245355.65</x:v>
      </x:c>
      <x:c r="E30" t="n">
        <x:v>207524.77</x:v>
      </x:c>
      <x:c r="F30" t="n">
        <x:v>37830.880000000005</x:v>
      </x:c>
    </x:row>
    <x:row r="31">
      <x:c r="A31" t="str">
        <x:v>P1001</x:v>
      </x:c>
      <x:c r="B31" t="str">
        <x:v>P1001-T30</x:v>
      </x:c>
      <x:c r="C31" t="str">
        <x:v>Commissioning</x:v>
      </x:c>
      <x:c r="D31" t="n">
        <x:v>306931.9</x:v>
      </x:c>
      <x:c r="E31" t="n">
        <x:v>267218.78</x:v>
      </x:c>
      <x:c r="F31" t="n">
        <x:v>39713.119999999995</x:v>
      </x:c>
    </x:row>
    <x:row r="32">
      <x:c r="A32" t="str">
        <x:v>P1002</x:v>
      </x:c>
      <x:c r="B32" t="str">
        <x:v>P1002-T01</x:v>
      </x:c>
      <x:c r="C32" t="str">
        <x:v>Civil</x:v>
      </x:c>
      <x:c r="D32" t="n">
        <x:v>542159.64</x:v>
      </x:c>
      <x:c r="E32" t="n">
        <x:v>550394.69</x:v>
      </x:c>
      <x:c r="F32" t="n">
        <x:v>-8235.04999999993</x:v>
      </x:c>
    </x:row>
    <x:row r="33">
      <x:c r="A33" t="str">
        <x:v>P1002</x:v>
      </x:c>
      <x:c r="B33" t="str">
        <x:v>P1002-T02</x:v>
      </x:c>
      <x:c r="C33" t="str">
        <x:v>Civil</x:v>
      </x:c>
      <x:c r="D33" t="n">
        <x:v>285952.73</x:v>
      </x:c>
      <x:c r="E33" t="n">
        <x:v>261092.34</x:v>
      </x:c>
      <x:c r="F33" t="n">
        <x:v>24860.389999999985</x:v>
      </x:c>
    </x:row>
    <x:row r="34">
      <x:c r="A34" t="str">
        <x:v>P1002</x:v>
      </x:c>
      <x:c r="B34" t="str">
        <x:v>P1002-T03</x:v>
      </x:c>
      <x:c r="C34" t="str">
        <x:v>Civil</x:v>
      </x:c>
      <x:c r="D34" t="n">
        <x:v>502926.53</x:v>
      </x:c>
      <x:c r="E34" t="n">
        <x:v>557107.09</x:v>
      </x:c>
      <x:c r="F34" t="n">
        <x:v>-54180.55999999994</x:v>
      </x:c>
    </x:row>
    <x:row r="35">
      <x:c r="A35" t="str">
        <x:v>P1002</x:v>
      </x:c>
      <x:c r="B35" t="str">
        <x:v>P1002-T04</x:v>
      </x:c>
      <x:c r="C35" t="str">
        <x:v>Civil</x:v>
      </x:c>
      <x:c r="D35" t="n">
        <x:v>565574.34</x:v>
      </x:c>
      <x:c r="E35" t="n">
        <x:v>614861.06</x:v>
      </x:c>
      <x:c r="F35" t="n">
        <x:v>-49286.72000000009</x:v>
      </x:c>
    </x:row>
    <x:row r="36">
      <x:c r="A36" t="str">
        <x:v>P1002</x:v>
      </x:c>
      <x:c r="B36" t="str">
        <x:v>P1002-T05</x:v>
      </x:c>
      <x:c r="C36" t="str">
        <x:v>Civil</x:v>
      </x:c>
      <x:c r="D36" t="n">
        <x:v>556694.8</x:v>
      </x:c>
      <x:c r="E36" t="n">
        <x:v>512514.98</x:v>
      </x:c>
      <x:c r="F36" t="n">
        <x:v>44179.820000000065</x:v>
      </x:c>
    </x:row>
    <x:row r="37">
      <x:c r="A37" t="str">
        <x:v>P1002</x:v>
      </x:c>
      <x:c r="B37" t="str">
        <x:v>P1002-T06</x:v>
      </x:c>
      <x:c r="C37" t="str">
        <x:v>Structural</x:v>
      </x:c>
      <x:c r="D37" t="n">
        <x:v>315759.54</x:v>
      </x:c>
      <x:c r="E37" t="n">
        <x:v>336924.37</x:v>
      </x:c>
      <x:c r="F37" t="n">
        <x:v>-21164.830000000016</x:v>
      </x:c>
    </x:row>
    <x:row r="38">
      <x:c r="A38" t="str">
        <x:v>P1002</x:v>
      </x:c>
      <x:c r="B38" t="str">
        <x:v>P1002-T07</x:v>
      </x:c>
      <x:c r="C38" t="str">
        <x:v>Structural</x:v>
      </x:c>
      <x:c r="D38" t="n">
        <x:v>530836.93</x:v>
      </x:c>
      <x:c r="E38" t="n">
        <x:v>664819.24</x:v>
      </x:c>
      <x:c r="F38" t="n">
        <x:v>-133982.30999999994</x:v>
      </x:c>
    </x:row>
    <x:row r="39">
      <x:c r="A39" t="str">
        <x:v>P1002</x:v>
      </x:c>
      <x:c r="B39" t="str">
        <x:v>P1002-T08</x:v>
      </x:c>
      <x:c r="C39" t="str">
        <x:v>Structural</x:v>
      </x:c>
      <x:c r="D39" t="n">
        <x:v>559194.46</x:v>
      </x:c>
      <x:c r="E39" t="n">
        <x:v>718776.53</x:v>
      </x:c>
      <x:c r="F39" t="n">
        <x:v>-159582.07000000007</x:v>
      </x:c>
    </x:row>
    <x:row r="40">
      <x:c r="A40" t="str">
        <x:v>P1002</x:v>
      </x:c>
      <x:c r="B40" t="str">
        <x:v>P1002-T09</x:v>
      </x:c>
      <x:c r="C40" t="str">
        <x:v>Structural</x:v>
      </x:c>
      <x:c r="D40" t="n">
        <x:v>315143.56</x:v>
      </x:c>
      <x:c r="E40" t="n">
        <x:v>363680.85</x:v>
      </x:c>
      <x:c r="F40" t="n">
        <x:v>-48537.28999999998</x:v>
      </x:c>
    </x:row>
    <x:row r="41">
      <x:c r="A41" t="str">
        <x:v>P1002</x:v>
      </x:c>
      <x:c r="B41" t="str">
        <x:v>P1002-T10</x:v>
      </x:c>
      <x:c r="C41" t="str">
        <x:v>Structural</x:v>
      </x:c>
      <x:c r="D41" t="n">
        <x:v>458391.38</x:v>
      </x:c>
      <x:c r="E41" t="n">
        <x:v>521739.75</x:v>
      </x:c>
      <x:c r="F41" t="n">
        <x:v>-63348.369999999995</x:v>
      </x:c>
    </x:row>
    <x:row r="42">
      <x:c r="A42" t="str">
        <x:v>P1002</x:v>
      </x:c>
      <x:c r="B42" t="str">
        <x:v>P1002-T11</x:v>
      </x:c>
      <x:c r="C42" t="str">
        <x:v>Mechanical</x:v>
      </x:c>
      <x:c r="D42" t="n">
        <x:v>575013</x:v>
      </x:c>
      <x:c r="E42" t="n">
        <x:v>571438.64</x:v>
      </x:c>
      <x:c r="F42" t="n">
        <x:v>3574.359999999986</x:v>
      </x:c>
    </x:row>
    <x:row r="43">
      <x:c r="A43" t="str">
        <x:v>P1002</x:v>
      </x:c>
      <x:c r="B43" t="str">
        <x:v>P1002-T12</x:v>
      </x:c>
      <x:c r="C43" t="str">
        <x:v>Mechanical</x:v>
      </x:c>
      <x:c r="D43" t="n">
        <x:v>456195.88</x:v>
      </x:c>
      <x:c r="E43" t="n">
        <x:v>409126.14</x:v>
      </x:c>
      <x:c r="F43" t="n">
        <x:v>47069.73999999999</x:v>
      </x:c>
    </x:row>
    <x:row r="44">
      <x:c r="A44" t="str">
        <x:v>P1002</x:v>
      </x:c>
      <x:c r="B44" t="str">
        <x:v>P1002-T13</x:v>
      </x:c>
      <x:c r="C44" t="str">
        <x:v>Mechanical</x:v>
      </x:c>
      <x:c r="D44" t="n">
        <x:v>322778.1</x:v>
      </x:c>
      <x:c r="E44" t="n">
        <x:v>435889.16</x:v>
      </x:c>
      <x:c r="F44" t="n">
        <x:v>-113111.06</x:v>
      </x:c>
    </x:row>
    <x:row r="45">
      <x:c r="A45" t="str">
        <x:v>P1002</x:v>
      </x:c>
      <x:c r="B45" t="str">
        <x:v>P1002-T14</x:v>
      </x:c>
      <x:c r="C45" t="str">
        <x:v>Mechanical</x:v>
      </x:c>
      <x:c r="D45" t="n">
        <x:v>367904.03</x:v>
      </x:c>
      <x:c r="E45" t="n">
        <x:v>444178.79</x:v>
      </x:c>
      <x:c r="F45" t="n">
        <x:v>-76274.75999999995</x:v>
      </x:c>
    </x:row>
    <x:row r="46">
      <x:c r="A46" t="str">
        <x:v>P1002</x:v>
      </x:c>
      <x:c r="B46" t="str">
        <x:v>P1002-T15</x:v>
      </x:c>
      <x:c r="C46" t="str">
        <x:v>Mechanical</x:v>
      </x:c>
      <x:c r="D46" t="n">
        <x:v>447623.07</x:v>
      </x:c>
      <x:c r="E46" t="n">
        <x:v>499271.08</x:v>
      </x:c>
      <x:c r="F46" t="n">
        <x:v>-51648.01000000001</x:v>
      </x:c>
    </x:row>
    <x:row r="47">
      <x:c r="A47" t="str">
        <x:v>P1002</x:v>
      </x:c>
      <x:c r="B47" t="str">
        <x:v>P1002-T16</x:v>
      </x:c>
      <x:c r="C47" t="str">
        <x:v>Electrical</x:v>
      </x:c>
      <x:c r="D47" t="n">
        <x:v>325081.95</x:v>
      </x:c>
      <x:c r="E47" t="n">
        <x:v>273118.95</x:v>
      </x:c>
      <x:c r="F47" t="n">
        <x:v>51963</x:v>
      </x:c>
    </x:row>
    <x:row r="48">
      <x:c r="A48" t="str">
        <x:v>P1002</x:v>
      </x:c>
      <x:c r="B48" t="str">
        <x:v>P1002-T17</x:v>
      </x:c>
      <x:c r="C48" t="str">
        <x:v>Electrical</x:v>
      </x:c>
      <x:c r="D48" t="n">
        <x:v>367977.75</x:v>
      </x:c>
      <x:c r="E48" t="n">
        <x:v>371974.4</x:v>
      </x:c>
      <x:c r="F48" t="n">
        <x:v>-3996.6500000000233</x:v>
      </x:c>
    </x:row>
    <x:row r="49">
      <x:c r="A49" t="str">
        <x:v>P1002</x:v>
      </x:c>
      <x:c r="B49" t="str">
        <x:v>P1002-T18</x:v>
      </x:c>
      <x:c r="C49" t="str">
        <x:v>Electrical</x:v>
      </x:c>
      <x:c r="D49" t="n">
        <x:v>511040.9</x:v>
      </x:c>
      <x:c r="E49" t="n">
        <x:v>563879.74</x:v>
      </x:c>
      <x:c r="F49" t="n">
        <x:v>-52838.83999999997</x:v>
      </x:c>
    </x:row>
    <x:row r="50">
      <x:c r="A50" t="str">
        <x:v>P1002</x:v>
      </x:c>
      <x:c r="B50" t="str">
        <x:v>P1002-T19</x:v>
      </x:c>
      <x:c r="C50" t="str">
        <x:v>Electrical</x:v>
      </x:c>
      <x:c r="D50" t="n">
        <x:v>368326.19</x:v>
      </x:c>
      <x:c r="E50" t="n">
        <x:v>394375.66</x:v>
      </x:c>
      <x:c r="F50" t="n">
        <x:v>-26049.469999999972</x:v>
      </x:c>
    </x:row>
    <x:row r="51">
      <x:c r="A51" t="str">
        <x:v>P1002</x:v>
      </x:c>
      <x:c r="B51" t="str">
        <x:v>P1002-T20</x:v>
      </x:c>
      <x:c r="C51" t="str">
        <x:v>Electrical</x:v>
      </x:c>
      <x:c r="D51" t="n">
        <x:v>475587.67</x:v>
      </x:c>
      <x:c r="E51" t="n">
        <x:v>467981.86</x:v>
      </x:c>
      <x:c r="F51" t="n">
        <x:v>7605.809999999998</x:v>
      </x:c>
    </x:row>
    <x:row r="52">
      <x:c r="A52" t="str">
        <x:v>P1002</x:v>
      </x:c>
      <x:c r="B52" t="str">
        <x:v>P1002-T21</x:v>
      </x:c>
      <x:c r="C52" t="str">
        <x:v>Instrumentation</x:v>
      </x:c>
      <x:c r="D52" t="n">
        <x:v>472056.64</x:v>
      </x:c>
      <x:c r="E52" t="n">
        <x:v>545804.5</x:v>
      </x:c>
      <x:c r="F52" t="n">
        <x:v>-73747.85999999999</x:v>
      </x:c>
    </x:row>
    <x:row r="53">
      <x:c r="A53" t="str">
        <x:v>P1002</x:v>
      </x:c>
      <x:c r="B53" t="str">
        <x:v>P1002-T22</x:v>
      </x:c>
      <x:c r="C53" t="str">
        <x:v>Instrumentation</x:v>
      </x:c>
      <x:c r="D53" t="n">
        <x:v>420295.23</x:v>
      </x:c>
      <x:c r="E53" t="n">
        <x:v>487552.5</x:v>
      </x:c>
      <x:c r="F53" t="n">
        <x:v>-67257.27000000002</x:v>
      </x:c>
    </x:row>
    <x:row r="54">
      <x:c r="A54" t="str">
        <x:v>P1002</x:v>
      </x:c>
      <x:c r="B54" t="str">
        <x:v>P1002-T23</x:v>
      </x:c>
      <x:c r="C54" t="str">
        <x:v>Instrumentation</x:v>
      </x:c>
      <x:c r="D54" t="n">
        <x:v>347463.04</x:v>
      </x:c>
      <x:c r="E54" t="n">
        <x:v>340049.69</x:v>
      </x:c>
      <x:c r="F54" t="n">
        <x:v>7413.349999999977</x:v>
      </x:c>
    </x:row>
    <x:row r="55">
      <x:c r="A55" t="str">
        <x:v>P1002</x:v>
      </x:c>
      <x:c r="B55" t="str">
        <x:v>P1002-T24</x:v>
      </x:c>
      <x:c r="C55" t="str">
        <x:v>Instrumentation</x:v>
      </x:c>
      <x:c r="D55" t="n">
        <x:v>540400.2</x:v>
      </x:c>
      <x:c r="E55" t="n">
        <x:v>470870.38</x:v>
      </x:c>
      <x:c r="F55" t="n">
        <x:v>69529.81999999995</x:v>
      </x:c>
    </x:row>
    <x:row r="56">
      <x:c r="A56" t="str">
        <x:v>P1002</x:v>
      </x:c>
      <x:c r="B56" t="str">
        <x:v>P1002-T25</x:v>
      </x:c>
      <x:c r="C56" t="str">
        <x:v>Instrumentation</x:v>
      </x:c>
      <x:c r="D56" t="n">
        <x:v>406227.74</x:v>
      </x:c>
      <x:c r="E56" t="n">
        <x:v>368466.43</x:v>
      </x:c>
      <x:c r="F56" t="n">
        <x:v>37761.31</x:v>
      </x:c>
    </x:row>
    <x:row r="57">
      <x:c r="A57" t="str">
        <x:v>P1002</x:v>
      </x:c>
      <x:c r="B57" t="str">
        <x:v>P1002-T26</x:v>
      </x:c>
      <x:c r="C57" t="str">
        <x:v>Commissioning</x:v>
      </x:c>
      <x:c r="D57" t="n">
        <x:v>368553.89</x:v>
      </x:c>
      <x:c r="E57" t="n">
        <x:v>446058.68</x:v>
      </x:c>
      <x:c r="F57" t="n">
        <x:v>-77504.78999999998</x:v>
      </x:c>
    </x:row>
    <x:row r="58">
      <x:c r="A58" t="str">
        <x:v>P1002</x:v>
      </x:c>
      <x:c r="B58" t="str">
        <x:v>P1002-T27</x:v>
      </x:c>
      <x:c r="C58" t="str">
        <x:v>Commissioning</x:v>
      </x:c>
      <x:c r="D58" t="n">
        <x:v>581182.71</x:v>
      </x:c>
      <x:c r="E58" t="n">
        <x:v>576478.72</x:v>
      </x:c>
      <x:c r="F58" t="n">
        <x:v>4703.989999999991</x:v>
      </x:c>
    </x:row>
    <x:row r="59">
      <x:c r="A59" t="str">
        <x:v>P1002</x:v>
      </x:c>
      <x:c r="B59" t="str">
        <x:v>P1002-T28</x:v>
      </x:c>
      <x:c r="C59" t="str">
        <x:v>Commissioning</x:v>
      </x:c>
      <x:c r="D59" t="n">
        <x:v>446655.65</x:v>
      </x:c>
      <x:c r="E59" t="n">
        <x:v>506888.55</x:v>
      </x:c>
      <x:c r="F59" t="n">
        <x:v>-60232.899999999965</x:v>
      </x:c>
    </x:row>
    <x:row r="60">
      <x:c r="A60" t="str">
        <x:v>P1002</x:v>
      </x:c>
      <x:c r="B60" t="str">
        <x:v>P1002-T29</x:v>
      </x:c>
      <x:c r="C60" t="str">
        <x:v>Commissioning</x:v>
      </x:c>
      <x:c r="D60" t="n">
        <x:v>274418.18</x:v>
      </x:c>
      <x:c r="E60" t="n">
        <x:v>262739.6</x:v>
      </x:c>
      <x:c r="F60" t="n">
        <x:v>11678.580000000016</x:v>
      </x:c>
    </x:row>
    <x:row r="61">
      <x:c r="A61" t="str">
        <x:v>P1002</x:v>
      </x:c>
      <x:c r="B61" t="str">
        <x:v>P1002-T30</x:v>
      </x:c>
      <x:c r="C61" t="str">
        <x:v>Commissioning</x:v>
      </x:c>
      <x:c r="D61" t="n">
        <x:v>363925.43</x:v>
      </x:c>
      <x:c r="E61" t="n">
        <x:v>474530.05</x:v>
      </x:c>
      <x:c r="F61" t="n">
        <x:v>-110604.62</x:v>
      </x:c>
    </x:row>
    <x:row r="62">
      <x:c r="A62" t="str">
        <x:v>P1003</x:v>
      </x:c>
      <x:c r="B62" t="str">
        <x:v>P1003-T01</x:v>
      </x:c>
      <x:c r="C62" t="str">
        <x:v>Civil</x:v>
      </x:c>
      <x:c r="D62" t="n">
        <x:v>150679.9</x:v>
      </x:c>
      <x:c r="E62" t="n">
        <x:v>150688.17</x:v>
      </x:c>
      <x:c r="F62" t="n">
        <x:v>-8.270000000018626</x:v>
      </x:c>
    </x:row>
    <x:row r="63">
      <x:c r="A63" t="str">
        <x:v>P1003</x:v>
      </x:c>
      <x:c r="B63" t="str">
        <x:v>P1003-T02</x:v>
      </x:c>
      <x:c r="C63" t="str">
        <x:v>Civil</x:v>
      </x:c>
      <x:c r="D63" t="n">
        <x:v>120866.28</x:v>
      </x:c>
      <x:c r="E63" t="n">
        <x:v>113334.43</x:v>
      </x:c>
      <x:c r="F63" t="n">
        <x:v>7531.850000000006</x:v>
      </x:c>
    </x:row>
    <x:row r="64">
      <x:c r="A64" t="str">
        <x:v>P1003</x:v>
      </x:c>
      <x:c r="B64" t="str">
        <x:v>P1003-T03</x:v>
      </x:c>
      <x:c r="C64" t="str">
        <x:v>Civil</x:v>
      </x:c>
      <x:c r="D64" t="n">
        <x:v>136258.26</x:v>
      </x:c>
      <x:c r="E64" t="n">
        <x:v>140364.92</x:v>
      </x:c>
      <x:c r="F64" t="n">
        <x:v>-4106.6600000000035</x:v>
      </x:c>
    </x:row>
    <x:row r="65">
      <x:c r="A65" t="str">
        <x:v>P1003</x:v>
      </x:c>
      <x:c r="B65" t="str">
        <x:v>P1003-T04</x:v>
      </x:c>
      <x:c r="C65" t="str">
        <x:v>Civil</x:v>
      </x:c>
      <x:c r="D65" t="n">
        <x:v>201890.66</x:v>
      </x:c>
      <x:c r="E65" t="n">
        <x:v>233525.85</x:v>
      </x:c>
      <x:c r="F65" t="n">
        <x:v>-31635.190000000002</x:v>
      </x:c>
    </x:row>
    <x:row r="66">
      <x:c r="A66" t="str">
        <x:v>P1003</x:v>
      </x:c>
      <x:c r="B66" t="str">
        <x:v>P1003-T05</x:v>
      </x:c>
      <x:c r="C66" t="str">
        <x:v>Civil</x:v>
      </x:c>
      <x:c r="D66" t="n">
        <x:v>208692.07</x:v>
      </x:c>
      <x:c r="E66" t="n">
        <x:v>271394.05</x:v>
      </x:c>
      <x:c r="F66" t="n">
        <x:v>-62701.97999999998</x:v>
      </x:c>
    </x:row>
    <x:row r="67">
      <x:c r="A67" t="str">
        <x:v>P1003</x:v>
      </x:c>
      <x:c r="B67" t="str">
        <x:v>P1003-T06</x:v>
      </x:c>
      <x:c r="C67" t="str">
        <x:v>Structural</x:v>
      </x:c>
      <x:c r="D67" t="n">
        <x:v>173582.12</x:v>
      </x:c>
      <x:c r="E67" t="n">
        <x:v>232153.63</x:v>
      </x:c>
      <x:c r="F67" t="n">
        <x:v>-58571.51000000001</x:v>
      </x:c>
    </x:row>
    <x:row r="68">
      <x:c r="A68" t="str">
        <x:v>P1003</x:v>
      </x:c>
      <x:c r="B68" t="str">
        <x:v>P1003-T07</x:v>
      </x:c>
      <x:c r="C68" t="str">
        <x:v>Structural</x:v>
      </x:c>
      <x:c r="D68" t="n">
        <x:v>210038.93</x:v>
      </x:c>
      <x:c r="E68" t="n">
        <x:v>175807.92</x:v>
      </x:c>
      <x:c r="F68" t="n">
        <x:v>34231.00999999998</x:v>
      </x:c>
    </x:row>
    <x:row r="69">
      <x:c r="A69" t="str">
        <x:v>P1003</x:v>
      </x:c>
      <x:c r="B69" t="str">
        <x:v>P1003-T08</x:v>
      </x:c>
      <x:c r="C69" t="str">
        <x:v>Structural</x:v>
      </x:c>
      <x:c r="D69" t="n">
        <x:v>180573.23</x:v>
      </x:c>
      <x:c r="E69" t="n">
        <x:v>224523.62</x:v>
      </x:c>
      <x:c r="F69" t="n">
        <x:v>-43950.389999999985</x:v>
      </x:c>
    </x:row>
    <x:row r="70">
      <x:c r="A70" t="str">
        <x:v>P1003</x:v>
      </x:c>
      <x:c r="B70" t="str">
        <x:v>P1003-T09</x:v>
      </x:c>
      <x:c r="C70" t="str">
        <x:v>Structural</x:v>
      </x:c>
      <x:c r="D70" t="n">
        <x:v>202706.87</x:v>
      </x:c>
      <x:c r="E70" t="n">
        <x:v>172257.94</x:v>
      </x:c>
      <x:c r="F70" t="n">
        <x:v>30448.929999999993</x:v>
      </x:c>
    </x:row>
    <x:row r="71">
      <x:c r="A71" t="str">
        <x:v>P1003</x:v>
      </x:c>
      <x:c r="B71" t="str">
        <x:v>P1003-T10</x:v>
      </x:c>
      <x:c r="C71" t="str">
        <x:v>Structural</x:v>
      </x:c>
      <x:c r="D71" t="n">
        <x:v>167644.47</x:v>
      </x:c>
      <x:c r="E71" t="n">
        <x:v>227171.43</x:v>
      </x:c>
      <x:c r="F71" t="n">
        <x:v>-59526.95999999999</x:v>
      </x:c>
    </x:row>
    <x:row r="72">
      <x:c r="A72" t="str">
        <x:v>P1003</x:v>
      </x:c>
      <x:c r="B72" t="str">
        <x:v>P1003-T11</x:v>
      </x:c>
      <x:c r="C72" t="str">
        <x:v>Mechanical</x:v>
      </x:c>
      <x:c r="D72" t="n">
        <x:v>176703.83</x:v>
      </x:c>
      <x:c r="E72" t="n">
        <x:v>192730.78</x:v>
      </x:c>
      <x:c r="F72" t="n">
        <x:v>-16026.950000000012</x:v>
      </x:c>
    </x:row>
    <x:row r="73">
      <x:c r="A73" t="str">
        <x:v>P1003</x:v>
      </x:c>
      <x:c r="B73" t="str">
        <x:v>P1003-T12</x:v>
      </x:c>
      <x:c r="C73" t="str">
        <x:v>Mechanical</x:v>
      </x:c>
      <x:c r="D73" t="n">
        <x:v>163134.43</x:v>
      </x:c>
      <x:c r="E73" t="n">
        <x:v>193112.97</x:v>
      </x:c>
      <x:c r="F73" t="n">
        <x:v>-29978.540000000008</x:v>
      </x:c>
    </x:row>
    <x:row r="74">
      <x:c r="A74" t="str">
        <x:v>P1003</x:v>
      </x:c>
      <x:c r="B74" t="str">
        <x:v>P1003-T13</x:v>
      </x:c>
      <x:c r="C74" t="str">
        <x:v>Mechanical</x:v>
      </x:c>
      <x:c r="D74" t="n">
        <x:v>153944.13</x:v>
      </x:c>
      <x:c r="E74" t="n">
        <x:v>157378.96</x:v>
      </x:c>
      <x:c r="F74" t="n">
        <x:v>-3434.829999999987</x:v>
      </x:c>
    </x:row>
    <x:row r="75">
      <x:c r="A75" t="str">
        <x:v>P1003</x:v>
      </x:c>
      <x:c r="B75" t="str">
        <x:v>P1003-T14</x:v>
      </x:c>
      <x:c r="C75" t="str">
        <x:v>Mechanical</x:v>
      </x:c>
      <x:c r="D75" t="n">
        <x:v>109917.52</x:v>
      </x:c>
      <x:c r="E75" t="n">
        <x:v>102210.64</x:v>
      </x:c>
      <x:c r="F75" t="n">
        <x:v>7706.880000000005</x:v>
      </x:c>
    </x:row>
    <x:row r="76">
      <x:c r="A76" t="str">
        <x:v>P1003</x:v>
      </x:c>
      <x:c r="B76" t="str">
        <x:v>P1003-T15</x:v>
      </x:c>
      <x:c r="C76" t="str">
        <x:v>Mechanical</x:v>
      </x:c>
      <x:c r="D76" t="n">
        <x:v>220813.16</x:v>
      </x:c>
      <x:c r="E76" t="n">
        <x:v>259020.21</x:v>
      </x:c>
      <x:c r="F76" t="n">
        <x:v>-38207.04999999999</x:v>
      </x:c>
    </x:row>
    <x:row r="77">
      <x:c r="A77" t="str">
        <x:v>P1003</x:v>
      </x:c>
      <x:c r="B77" t="str">
        <x:v>P1003-T16</x:v>
      </x:c>
      <x:c r="C77" t="str">
        <x:v>Electrical</x:v>
      </x:c>
      <x:c r="D77" t="n">
        <x:v>203186.58</x:v>
      </x:c>
      <x:c r="E77" t="n">
        <x:v>188511.45</x:v>
      </x:c>
      <x:c r="F77" t="n">
        <x:v>14675.129999999976</x:v>
      </x:c>
    </x:row>
    <x:row r="78">
      <x:c r="A78" t="str">
        <x:v>P1003</x:v>
      </x:c>
      <x:c r="B78" t="str">
        <x:v>P1003-T17</x:v>
      </x:c>
      <x:c r="C78" t="str">
        <x:v>Electrical</x:v>
      </x:c>
      <x:c r="D78" t="n">
        <x:v>208275.94</x:v>
      </x:c>
      <x:c r="E78" t="n">
        <x:v>195911</x:v>
      </x:c>
      <x:c r="F78" t="n">
        <x:v>12364.940000000002</x:v>
      </x:c>
    </x:row>
    <x:row r="79">
      <x:c r="A79" t="str">
        <x:v>P1003</x:v>
      </x:c>
      <x:c r="B79" t="str">
        <x:v>P1003-T18</x:v>
      </x:c>
      <x:c r="C79" t="str">
        <x:v>Electrical</x:v>
      </x:c>
      <x:c r="D79" t="n">
        <x:v>228414.98</x:v>
      </x:c>
      <x:c r="E79" t="n">
        <x:v>273171.69</x:v>
      </x:c>
      <x:c r="F79" t="n">
        <x:v>-44756.70999999999</x:v>
      </x:c>
    </x:row>
    <x:row r="80">
      <x:c r="A80" t="str">
        <x:v>P1003</x:v>
      </x:c>
      <x:c r="B80" t="str">
        <x:v>P1003-T19</x:v>
      </x:c>
      <x:c r="C80" t="str">
        <x:v>Electrical</x:v>
      </x:c>
      <x:c r="D80" t="n">
        <x:v>184196.5</x:v>
      </x:c>
      <x:c r="E80" t="n">
        <x:v>206346.79</x:v>
      </x:c>
      <x:c r="F80" t="n">
        <x:v>-22150.290000000008</x:v>
      </x:c>
    </x:row>
    <x:row r="81">
      <x:c r="A81" t="str">
        <x:v>P1003</x:v>
      </x:c>
      <x:c r="B81" t="str">
        <x:v>P1003-T20</x:v>
      </x:c>
      <x:c r="C81" t="str">
        <x:v>Electrical</x:v>
      </x:c>
      <x:c r="D81" t="n">
        <x:v>212892.84</x:v>
      </x:c>
      <x:c r="E81" t="n">
        <x:v>306266.36</x:v>
      </x:c>
      <x:c r="F81" t="n">
        <x:v>-93373.51999999999</x:v>
      </x:c>
    </x:row>
    <x:row r="82">
      <x:c r="A82" t="str">
        <x:v>P1003</x:v>
      </x:c>
      <x:c r="B82" t="str">
        <x:v>P1003-T21</x:v>
      </x:c>
      <x:c r="C82" t="str">
        <x:v>Instrumentation</x:v>
      </x:c>
      <x:c r="D82" t="n">
        <x:v>201149.86</x:v>
      </x:c>
      <x:c r="E82" t="n">
        <x:v>257671.25</x:v>
      </x:c>
      <x:c r="F82" t="n">
        <x:v>-56521.390000000014</x:v>
      </x:c>
    </x:row>
    <x:row r="83">
      <x:c r="A83" t="str">
        <x:v>P1003</x:v>
      </x:c>
      <x:c r="B83" t="str">
        <x:v>P1003-T22</x:v>
      </x:c>
      <x:c r="C83" t="str">
        <x:v>Instrumentation</x:v>
      </x:c>
      <x:c r="D83" t="n">
        <x:v>111075.51</x:v>
      </x:c>
      <x:c r="E83" t="n">
        <x:v>162167.21</x:v>
      </x:c>
      <x:c r="F83" t="n">
        <x:v>-51091.7</x:v>
      </x:c>
    </x:row>
    <x:row r="84">
      <x:c r="A84" t="str">
        <x:v>P1003</x:v>
      </x:c>
      <x:c r="B84" t="str">
        <x:v>P1003-T23</x:v>
      </x:c>
      <x:c r="C84" t="str">
        <x:v>Instrumentation</x:v>
      </x:c>
      <x:c r="D84" t="n">
        <x:v>182414.89</x:v>
      </x:c>
      <x:c r="E84" t="n">
        <x:v>238752.98</x:v>
      </x:c>
      <x:c r="F84" t="n">
        <x:v>-56338.09</x:v>
      </x:c>
    </x:row>
    <x:row r="85">
      <x:c r="A85" t="str">
        <x:v>P1003</x:v>
      </x:c>
      <x:c r="B85" t="str">
        <x:v>P1003-T24</x:v>
      </x:c>
      <x:c r="C85" t="str">
        <x:v>Instrumentation</x:v>
      </x:c>
      <x:c r="D85" t="n">
        <x:v>212427.43</x:v>
      </x:c>
      <x:c r="E85" t="n">
        <x:v>217899.5</x:v>
      </x:c>
      <x:c r="F85" t="n">
        <x:v>-5472.070000000007</x:v>
      </x:c>
    </x:row>
    <x:row r="86">
      <x:c r="A86" t="str">
        <x:v>P1003</x:v>
      </x:c>
      <x:c r="B86" t="str">
        <x:v>P1003-T25</x:v>
      </x:c>
      <x:c r="C86" t="str">
        <x:v>Instrumentation</x:v>
      </x:c>
      <x:c r="D86" t="n">
        <x:v>205288.94</x:v>
      </x:c>
      <x:c r="E86" t="n">
        <x:v>297344.11</x:v>
      </x:c>
      <x:c r="F86" t="n">
        <x:v>-92055.16999999998</x:v>
      </x:c>
    </x:row>
    <x:row r="87">
      <x:c r="A87" t="str">
        <x:v>P1003</x:v>
      </x:c>
      <x:c r="B87" t="str">
        <x:v>P1003-T26</x:v>
      </x:c>
      <x:c r="C87" t="str">
        <x:v>Commissioning</x:v>
      </x:c>
      <x:c r="D87" t="n">
        <x:v>185396.19</x:v>
      </x:c>
      <x:c r="E87" t="n">
        <x:v>194883.56</x:v>
      </x:c>
      <x:c r="F87" t="n">
        <x:v>-9487.369999999995</x:v>
      </x:c>
    </x:row>
    <x:row r="88">
      <x:c r="A88" t="str">
        <x:v>P1003</x:v>
      </x:c>
      <x:c r="B88" t="str">
        <x:v>P1003-T27</x:v>
      </x:c>
      <x:c r="C88" t="str">
        <x:v>Commissioning</x:v>
      </x:c>
      <x:c r="D88" t="n">
        <x:v>110178.7</x:v>
      </x:c>
      <x:c r="E88" t="n">
        <x:v>101604.31</x:v>
      </x:c>
      <x:c r="F88" t="n">
        <x:v>8574.39</x:v>
      </x:c>
    </x:row>
    <x:row r="89">
      <x:c r="A89" t="str">
        <x:v>P1003</x:v>
      </x:c>
      <x:c r="B89" t="str">
        <x:v>P1003-T28</x:v>
      </x:c>
      <x:c r="C89" t="str">
        <x:v>Commissioning</x:v>
      </x:c>
      <x:c r="D89" t="n">
        <x:v>109193.49</x:v>
      </x:c>
      <x:c r="E89" t="n">
        <x:v>91952.27</x:v>
      </x:c>
      <x:c r="F89" t="n">
        <x:v>17241.22</x:v>
      </x:c>
    </x:row>
    <x:row r="90">
      <x:c r="A90" t="str">
        <x:v>P1003</x:v>
      </x:c>
      <x:c r="B90" t="str">
        <x:v>P1003-T29</x:v>
      </x:c>
      <x:c r="C90" t="str">
        <x:v>Commissioning</x:v>
      </x:c>
      <x:c r="D90" t="n">
        <x:v>217210.34</x:v>
      </x:c>
      <x:c r="E90" t="n">
        <x:v>235049.13</x:v>
      </x:c>
      <x:c r="F90" t="n">
        <x:v>-17838.790000000008</x:v>
      </x:c>
    </x:row>
    <x:row r="91">
      <x:c r="A91" t="str">
        <x:v>P1003</x:v>
      </x:c>
      <x:c r="B91" t="str">
        <x:v>P1003-T30</x:v>
      </x:c>
      <x:c r="C91" t="str">
        <x:v>Commissioning</x:v>
      </x:c>
      <x:c r="D91" t="n">
        <x:v>179808.13</x:v>
      </x:c>
      <x:c r="E91" t="n">
        <x:v>175234.37</x:v>
      </x:c>
      <x:c r="F91" t="n">
        <x:v>4573.760000000009</x:v>
      </x:c>
    </x:row>
    <x:row r="92">
      <x:c r="A92" t="str">
        <x:v>P1004</x:v>
      </x:c>
      <x:c r="B92" t="str">
        <x:v>P1004-T01</x:v>
      </x:c>
      <x:c r="C92" t="str">
        <x:v>Civil</x:v>
      </x:c>
      <x:c r="D92" t="n">
        <x:v>186753.49</x:v>
      </x:c>
      <x:c r="E92" t="n">
        <x:v>216637.51</x:v>
      </x:c>
      <x:c r="F92" t="n">
        <x:v>-29884.02000000002</x:v>
      </x:c>
    </x:row>
    <x:row r="93">
      <x:c r="A93" t="str">
        <x:v>P1004</x:v>
      </x:c>
      <x:c r="B93" t="str">
        <x:v>P1004-T02</x:v>
      </x:c>
      <x:c r="C93" t="str">
        <x:v>Civil</x:v>
      </x:c>
      <x:c r="D93" t="n">
        <x:v>141222.98</x:v>
      </x:c>
      <x:c r="E93" t="n">
        <x:v>134803.19</x:v>
      </x:c>
      <x:c r="F93" t="n">
        <x:v>6419.790000000008</x:v>
      </x:c>
    </x:row>
    <x:row r="94">
      <x:c r="A94" t="str">
        <x:v>P1004</x:v>
      </x:c>
      <x:c r="B94" t="str">
        <x:v>P1004-T03</x:v>
      </x:c>
      <x:c r="C94" t="str">
        <x:v>Civil</x:v>
      </x:c>
      <x:c r="D94" t="n">
        <x:v>224342.99</x:v>
      </x:c>
      <x:c r="E94" t="n">
        <x:v>220615.39</x:v>
      </x:c>
      <x:c r="F94" t="n">
        <x:v>3727.5999999999767</x:v>
      </x:c>
    </x:row>
    <x:row r="95">
      <x:c r="A95" t="str">
        <x:v>P1004</x:v>
      </x:c>
      <x:c r="B95" t="str">
        <x:v>P1004-T04</x:v>
      </x:c>
      <x:c r="C95" t="str">
        <x:v>Civil</x:v>
      </x:c>
      <x:c r="D95" t="n">
        <x:v>134185.87</x:v>
      </x:c>
      <x:c r="E95" t="n">
        <x:v>122083.45</x:v>
      </x:c>
      <x:c r="F95" t="n">
        <x:v>12102.419999999998</x:v>
      </x:c>
    </x:row>
    <x:row r="96">
      <x:c r="A96" t="str">
        <x:v>P1004</x:v>
      </x:c>
      <x:c r="B96" t="str">
        <x:v>P1004-T05</x:v>
      </x:c>
      <x:c r="C96" t="str">
        <x:v>Civil</x:v>
      </x:c>
      <x:c r="D96" t="n">
        <x:v>263741.57</x:v>
      </x:c>
      <x:c r="E96" t="n">
        <x:v>278556.08</x:v>
      </x:c>
      <x:c r="F96" t="n">
        <x:v>-14814.51000000001</x:v>
      </x:c>
    </x:row>
    <x:row r="97">
      <x:c r="A97" t="str">
        <x:v>P1004</x:v>
      </x:c>
      <x:c r="B97" t="str">
        <x:v>P1004-T06</x:v>
      </x:c>
      <x:c r="C97" t="str">
        <x:v>Structural</x:v>
      </x:c>
      <x:c r="D97" t="n">
        <x:v>186982.33</x:v>
      </x:c>
      <x:c r="E97" t="n">
        <x:v>173205.36</x:v>
      </x:c>
      <x:c r="F97" t="n">
        <x:v>13776.970000000001</x:v>
      </x:c>
    </x:row>
    <x:row r="98">
      <x:c r="A98" t="str">
        <x:v>P1004</x:v>
      </x:c>
      <x:c r="B98" t="str">
        <x:v>P1004-T07</x:v>
      </x:c>
      <x:c r="C98" t="str">
        <x:v>Structural</x:v>
      </x:c>
      <x:c r="D98" t="n">
        <x:v>255818.97</x:v>
      </x:c>
      <x:c r="E98" t="n">
        <x:v>320536.98</x:v>
      </x:c>
      <x:c r="F98" t="n">
        <x:v>-64718.00999999998</x:v>
      </x:c>
    </x:row>
    <x:row r="99">
      <x:c r="A99" t="str">
        <x:v>P1004</x:v>
      </x:c>
      <x:c r="B99" t="str">
        <x:v>P1004-T08</x:v>
      </x:c>
      <x:c r="C99" t="str">
        <x:v>Structural</x:v>
      </x:c>
      <x:c r="D99" t="n">
        <x:v>187520.25</x:v>
      </x:c>
      <x:c r="E99" t="n">
        <x:v>224939.65</x:v>
      </x:c>
      <x:c r="F99" t="n">
        <x:v>-37419.399999999994</x:v>
      </x:c>
    </x:row>
    <x:row r="100">
      <x:c r="A100" t="str">
        <x:v>P1004</x:v>
      </x:c>
      <x:c r="B100" t="str">
        <x:v>P1004-T09</x:v>
      </x:c>
      <x:c r="C100" t="str">
        <x:v>Structural</x:v>
      </x:c>
      <x:c r="D100" t="n">
        <x:v>152545.85</x:v>
      </x:c>
      <x:c r="E100" t="n">
        <x:v>178964.14</x:v>
      </x:c>
      <x:c r="F100" t="n">
        <x:v>-26418.290000000008</x:v>
      </x:c>
    </x:row>
    <x:row r="101">
      <x:c r="A101" t="str">
        <x:v>P1004</x:v>
      </x:c>
      <x:c r="B101" t="str">
        <x:v>P1004-T10</x:v>
      </x:c>
      <x:c r="C101" t="str">
        <x:v>Structural</x:v>
      </x:c>
      <x:c r="D101" t="n">
        <x:v>219110.18</x:v>
      </x:c>
      <x:c r="E101" t="n">
        <x:v>287787.96</x:v>
      </x:c>
      <x:c r="F101" t="n">
        <x:v>-68677.78000000003</x:v>
      </x:c>
    </x:row>
    <x:row r="102">
      <x:c r="A102" t="str">
        <x:v>P1004</x:v>
      </x:c>
      <x:c r="B102" t="str">
        <x:v>P1004-T11</x:v>
      </x:c>
      <x:c r="C102" t="str">
        <x:v>Mechanical</x:v>
      </x:c>
      <x:c r="D102" t="n">
        <x:v>144143.53</x:v>
      </x:c>
      <x:c r="E102" t="n">
        <x:v>156998.21</x:v>
      </x:c>
      <x:c r="F102" t="n">
        <x:v>-12854.679999999993</x:v>
      </x:c>
    </x:row>
    <x:row r="103">
      <x:c r="A103" t="str">
        <x:v>P1004</x:v>
      </x:c>
      <x:c r="B103" t="str">
        <x:v>P1004-T12</x:v>
      </x:c>
      <x:c r="C103" t="str">
        <x:v>Mechanical</x:v>
      </x:c>
      <x:c r="D103" t="n">
        <x:v>155059.65</x:v>
      </x:c>
      <x:c r="E103" t="n">
        <x:v>168727.96</x:v>
      </x:c>
      <x:c r="F103" t="n">
        <x:v>-13668.309999999998</x:v>
      </x:c>
    </x:row>
    <x:row r="104">
      <x:c r="A104" t="str">
        <x:v>P1004</x:v>
      </x:c>
      <x:c r="B104" t="str">
        <x:v>P1004-T13</x:v>
      </x:c>
      <x:c r="C104" t="str">
        <x:v>Mechanical</x:v>
      </x:c>
      <x:c r="D104" t="n">
        <x:v>211955.97</x:v>
      </x:c>
      <x:c r="E104" t="n">
        <x:v>204367.66</x:v>
      </x:c>
      <x:c r="F104" t="n">
        <x:v>7588.309999999998</x:v>
      </x:c>
    </x:row>
    <x:row r="105">
      <x:c r="A105" t="str">
        <x:v>P1004</x:v>
      </x:c>
      <x:c r="B105" t="str">
        <x:v>P1004-T14</x:v>
      </x:c>
      <x:c r="C105" t="str">
        <x:v>Mechanical</x:v>
      </x:c>
      <x:c r="D105" t="n">
        <x:v>207457.7</x:v>
      </x:c>
      <x:c r="E105" t="n">
        <x:v>190355.66</x:v>
      </x:c>
      <x:c r="F105" t="n">
        <x:v>17102.040000000008</x:v>
      </x:c>
    </x:row>
    <x:row r="106">
      <x:c r="A106" t="str">
        <x:v>P1004</x:v>
      </x:c>
      <x:c r="B106" t="str">
        <x:v>P1004-T15</x:v>
      </x:c>
      <x:c r="C106" t="str">
        <x:v>Mechanical</x:v>
      </x:c>
      <x:c r="D106" t="n">
        <x:v>148687.66</x:v>
      </x:c>
      <x:c r="E106" t="n">
        <x:v>133196.79</x:v>
      </x:c>
      <x:c r="F106" t="n">
        <x:v>15490.869999999995</x:v>
      </x:c>
    </x:row>
    <x:row r="107">
      <x:c r="A107" t="str">
        <x:v>P1004</x:v>
      </x:c>
      <x:c r="B107" t="str">
        <x:v>P1004-T16</x:v>
      </x:c>
      <x:c r="C107" t="str">
        <x:v>Electrical</x:v>
      </x:c>
      <x:c r="D107" t="n">
        <x:v>258159.24</x:v>
      </x:c>
      <x:c r="E107" t="n">
        <x:v>231342.21</x:v>
      </x:c>
      <x:c r="F107" t="n">
        <x:v>26817.03</x:v>
      </x:c>
    </x:row>
    <x:row r="108">
      <x:c r="A108" t="str">
        <x:v>P1004</x:v>
      </x:c>
      <x:c r="B108" t="str">
        <x:v>P1004-T17</x:v>
      </x:c>
      <x:c r="C108" t="str">
        <x:v>Electrical</x:v>
      </x:c>
      <x:c r="D108" t="n">
        <x:v>157348.41</x:v>
      </x:c>
      <x:c r="E108" t="n">
        <x:v>205631.99</x:v>
      </x:c>
      <x:c r="F108" t="n">
        <x:v>-48283.57999999999</x:v>
      </x:c>
    </x:row>
    <x:row r="109">
      <x:c r="A109" t="str">
        <x:v>P1004</x:v>
      </x:c>
      <x:c r="B109" t="str">
        <x:v>P1004-T18</x:v>
      </x:c>
      <x:c r="C109" t="str">
        <x:v>Electrical</x:v>
      </x:c>
      <x:c r="D109" t="n">
        <x:v>135810.22</x:v>
      </x:c>
      <x:c r="E109" t="n">
        <x:v>159769.23</x:v>
      </x:c>
      <x:c r="F109" t="n">
        <x:v>-23959.01000000001</x:v>
      </x:c>
    </x:row>
    <x:row r="110">
      <x:c r="A110" t="str">
        <x:v>P1004</x:v>
      </x:c>
      <x:c r="B110" t="str">
        <x:v>P1004-T19</x:v>
      </x:c>
      <x:c r="C110" t="str">
        <x:v>Electrical</x:v>
      </x:c>
      <x:c r="D110" t="n">
        <x:v>183853.3</x:v>
      </x:c>
      <x:c r="E110" t="n">
        <x:v>213216.89</x:v>
      </x:c>
      <x:c r="F110" t="n">
        <x:v>-29363.590000000026</x:v>
      </x:c>
    </x:row>
    <x:row r="111">
      <x:c r="A111" t="str">
        <x:v>P1004</x:v>
      </x:c>
      <x:c r="B111" t="str">
        <x:v>P1004-T20</x:v>
      </x:c>
      <x:c r="C111" t="str">
        <x:v>Electrical</x:v>
      </x:c>
      <x:c r="D111" t="n">
        <x:v>251760.47</x:v>
      </x:c>
      <x:c r="E111" t="n">
        <x:v>303293.22</x:v>
      </x:c>
      <x:c r="F111" t="n">
        <x:v>-51532.74999999997</x:v>
      </x:c>
    </x:row>
    <x:row r="112">
      <x:c r="A112" t="str">
        <x:v>P1004</x:v>
      </x:c>
      <x:c r="B112" t="str">
        <x:v>P1004-T21</x:v>
      </x:c>
      <x:c r="C112" t="str">
        <x:v>Instrumentation</x:v>
      </x:c>
      <x:c r="D112" t="n">
        <x:v>171116.04</x:v>
      </x:c>
      <x:c r="E112" t="n">
        <x:v>209680.15</x:v>
      </x:c>
      <x:c r="F112" t="n">
        <x:v>-38564.109999999986</x:v>
      </x:c>
    </x:row>
    <x:row r="113">
      <x:c r="A113" t="str">
        <x:v>P1004</x:v>
      </x:c>
      <x:c r="B113" t="str">
        <x:v>P1004-T22</x:v>
      </x:c>
      <x:c r="C113" t="str">
        <x:v>Instrumentation</x:v>
      </x:c>
      <x:c r="D113" t="n">
        <x:v>245602.63</x:v>
      </x:c>
      <x:c r="E113" t="n">
        <x:v>324717.29</x:v>
      </x:c>
      <x:c r="F113" t="n">
        <x:v>-79114.65999999997</x:v>
      </x:c>
    </x:row>
    <x:row r="114">
      <x:c r="A114" t="str">
        <x:v>P1004</x:v>
      </x:c>
      <x:c r="B114" t="str">
        <x:v>P1004-T23</x:v>
      </x:c>
      <x:c r="C114" t="str">
        <x:v>Instrumentation</x:v>
      </x:c>
      <x:c r="D114" t="n">
        <x:v>220375.52</x:v>
      </x:c>
      <x:c r="E114" t="n">
        <x:v>256144.96</x:v>
      </x:c>
      <x:c r="F114" t="n">
        <x:v>-35769.44</x:v>
      </x:c>
    </x:row>
    <x:row r="115">
      <x:c r="A115" t="str">
        <x:v>P1004</x:v>
      </x:c>
      <x:c r="B115" t="str">
        <x:v>P1004-T24</x:v>
      </x:c>
      <x:c r="C115" t="str">
        <x:v>Instrumentation</x:v>
      </x:c>
      <x:c r="D115" t="n">
        <x:v>226606.38</x:v>
      </x:c>
      <x:c r="E115" t="n">
        <x:v>212645.83</x:v>
      </x:c>
      <x:c r="F115" t="n">
        <x:v>13960.550000000017</x:v>
      </x:c>
    </x:row>
    <x:row r="116">
      <x:c r="A116" t="str">
        <x:v>P1004</x:v>
      </x:c>
      <x:c r="B116" t="str">
        <x:v>P1004-T25</x:v>
      </x:c>
      <x:c r="C116" t="str">
        <x:v>Instrumentation</x:v>
      </x:c>
      <x:c r="D116" t="n">
        <x:v>193279.91</x:v>
      </x:c>
      <x:c r="E116" t="n">
        <x:v>240324.32</x:v>
      </x:c>
      <x:c r="F116" t="n">
        <x:v>-47044.41</x:v>
      </x:c>
    </x:row>
    <x:row r="117">
      <x:c r="A117" t="str">
        <x:v>P1004</x:v>
      </x:c>
      <x:c r="B117" t="str">
        <x:v>P1004-T26</x:v>
      </x:c>
      <x:c r="C117" t="str">
        <x:v>Commissioning</x:v>
      </x:c>
      <x:c r="D117" t="n">
        <x:v>135140.42</x:v>
      </x:c>
      <x:c r="E117" t="n">
        <x:v>135609.5</x:v>
      </x:c>
      <x:c r="F117" t="n">
        <x:v>-469.0799999999872</x:v>
      </x:c>
    </x:row>
    <x:row r="118">
      <x:c r="A118" t="str">
        <x:v>P1004</x:v>
      </x:c>
      <x:c r="B118" t="str">
        <x:v>P1004-T27</x:v>
      </x:c>
      <x:c r="C118" t="str">
        <x:v>Commissioning</x:v>
      </x:c>
      <x:c r="D118" t="n">
        <x:v>174752.32</x:v>
      </x:c>
      <x:c r="E118" t="n">
        <x:v>218452.68</x:v>
      </x:c>
      <x:c r="F118" t="n">
        <x:v>-43700.359999999986</x:v>
      </x:c>
    </x:row>
    <x:row r="119">
      <x:c r="A119" t="str">
        <x:v>P1004</x:v>
      </x:c>
      <x:c r="B119" t="str">
        <x:v>P1004-T28</x:v>
      </x:c>
      <x:c r="C119" t="str">
        <x:v>Commissioning</x:v>
      </x:c>
      <x:c r="D119" t="n">
        <x:v>250840.57</x:v>
      </x:c>
      <x:c r="E119" t="n">
        <x:v>316955</x:v>
      </x:c>
      <x:c r="F119" t="n">
        <x:v>-66114.43</x:v>
      </x:c>
    </x:row>
    <x:row r="120">
      <x:c r="A120" t="str">
        <x:v>P1004</x:v>
      </x:c>
      <x:c r="B120" t="str">
        <x:v>P1004-T29</x:v>
      </x:c>
      <x:c r="C120" t="str">
        <x:v>Commissioning</x:v>
      </x:c>
      <x:c r="D120" t="n">
        <x:v>191340.5</x:v>
      </x:c>
      <x:c r="E120" t="n">
        <x:v>210515.15</x:v>
      </x:c>
      <x:c r="F120" t="n">
        <x:v>-19174.649999999994</x:v>
      </x:c>
    </x:row>
    <x:row r="121">
      <x:c r="A121" t="str">
        <x:v>P1004</x:v>
      </x:c>
      <x:c r="B121" t="str">
        <x:v>P1004-T30</x:v>
      </x:c>
      <x:c r="C121" t="str">
        <x:v>Commissioning</x:v>
      </x:c>
      <x:c r="D121" t="n">
        <x:v>234995.8</x:v>
      </x:c>
      <x:c r="E121" t="n">
        <x:v>246615.66</x:v>
      </x:c>
      <x:c r="F121" t="n">
        <x:v>-11619.860000000015</x:v>
      </x:c>
    </x:row>
  </x:sheetData>
  <x:pageMargins left="0.7" right="0.7" top="0.75" bottom="0.75" header="0.3" footer="0.3"/>
  <x:tableParts count="1">
    <x:tablePart xmlns:r="http://schemas.openxmlformats.org/officeDocument/2006/relationships" r:id="R77809c892ce641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</x:cols>
  <x:sheetData>
    <x:row r="1">
      <x:c r="A1" s="2" t="str">
        <x:v>project_id</x:v>
      </x:c>
      <x:c r="B1" s="2" t="str">
        <x:v>task_id</x:v>
      </x:c>
      <x:c r="C1" s="2" t="str">
        <x:v>discipline</x:v>
      </x:c>
      <x:c r="D1" s="6" t="str">
        <x:v>planned_hours</x:v>
      </x:c>
      <x:c r="E1" s="6" t="str">
        <x:v>actual_hours</x:v>
      </x:c>
      <x:c r="F1" s="6" t="str">
        <x:v>hour_variance</x:v>
      </x:c>
    </x:row>
    <x:row r="2">
      <x:c r="A2" t="str">
        <x:v>P1001</x:v>
      </x:c>
      <x:c r="B2" t="str">
        <x:v>P1001-T01</x:v>
      </x:c>
      <x:c r="C2" t="str">
        <x:v>Civil</x:v>
      </x:c>
      <x:c r="D2" t="n">
        <x:v>2583</x:v>
      </x:c>
      <x:c r="E2" t="n">
        <x:v>3127</x:v>
      </x:c>
      <x:c r="F2" t="n">
        <x:v>544</x:v>
      </x:c>
    </x:row>
    <x:row r="3">
      <x:c r="A3" t="str">
        <x:v>P1001</x:v>
      </x:c>
      <x:c r="B3" t="str">
        <x:v>P1001-T02</x:v>
      </x:c>
      <x:c r="C3" t="str">
        <x:v>Civil</x:v>
      </x:c>
      <x:c r="D3" t="n">
        <x:v>3919</x:v>
      </x:c>
      <x:c r="E3" t="n">
        <x:v>3229</x:v>
      </x:c>
      <x:c r="F3" t="n">
        <x:v>-690</x:v>
      </x:c>
    </x:row>
    <x:row r="4">
      <x:c r="A4" t="str">
        <x:v>P1001</x:v>
      </x:c>
      <x:c r="B4" t="str">
        <x:v>P1001-T03</x:v>
      </x:c>
      <x:c r="C4" t="str">
        <x:v>Civil</x:v>
      </x:c>
      <x:c r="D4" t="n">
        <x:v>3281</x:v>
      </x:c>
      <x:c r="E4" t="n">
        <x:v>4375</x:v>
      </x:c>
      <x:c r="F4" t="n">
        <x:v>1094</x:v>
      </x:c>
    </x:row>
    <x:row r="5">
      <x:c r="A5" t="str">
        <x:v>P1001</x:v>
      </x:c>
      <x:c r="B5" t="str">
        <x:v>P1001-T04</x:v>
      </x:c>
      <x:c r="C5" t="str">
        <x:v>Civil</x:v>
      </x:c>
      <x:c r="D5" t="n">
        <x:v>2948</x:v>
      </x:c>
      <x:c r="E5" t="n">
        <x:v>3230</x:v>
      </x:c>
      <x:c r="F5" t="n">
        <x:v>282</x:v>
      </x:c>
    </x:row>
    <x:row r="6">
      <x:c r="A6" t="str">
        <x:v>P1001</x:v>
      </x:c>
      <x:c r="B6" t="str">
        <x:v>P1001-T05</x:v>
      </x:c>
      <x:c r="C6" t="str">
        <x:v>Civil</x:v>
      </x:c>
      <x:c r="D6" t="n">
        <x:v>2999</x:v>
      </x:c>
      <x:c r="E6" t="n">
        <x:v>3623</x:v>
      </x:c>
      <x:c r="F6" t="n">
        <x:v>624</x:v>
      </x:c>
    </x:row>
    <x:row r="7">
      <x:c r="A7" t="str">
        <x:v>P1001</x:v>
      </x:c>
      <x:c r="B7" t="str">
        <x:v>P1001-T06</x:v>
      </x:c>
      <x:c r="C7" t="str">
        <x:v>Structural</x:v>
      </x:c>
      <x:c r="D7" t="n">
        <x:v>2619</x:v>
      </x:c>
      <x:c r="E7" t="n">
        <x:v>2938</x:v>
      </x:c>
      <x:c r="F7" t="n">
        <x:v>319</x:v>
      </x:c>
    </x:row>
    <x:row r="8">
      <x:c r="A8" t="str">
        <x:v>P1001</x:v>
      </x:c>
      <x:c r="B8" t="str">
        <x:v>P1001-T07</x:v>
      </x:c>
      <x:c r="C8" t="str">
        <x:v>Structural</x:v>
      </x:c>
      <x:c r="D8" t="n">
        <x:v>2609</x:v>
      </x:c>
      <x:c r="E8" t="n">
        <x:v>2592</x:v>
      </x:c>
      <x:c r="F8" t="n">
        <x:v>-17</x:v>
      </x:c>
    </x:row>
    <x:row r="9">
      <x:c r="A9" t="str">
        <x:v>P1001</x:v>
      </x:c>
      <x:c r="B9" t="str">
        <x:v>P1001-T08</x:v>
      </x:c>
      <x:c r="C9" t="str">
        <x:v>Structural</x:v>
      </x:c>
      <x:c r="D9" t="n">
        <x:v>2062</x:v>
      </x:c>
      <x:c r="E9" t="n">
        <x:v>2204</x:v>
      </x:c>
      <x:c r="F9" t="n">
        <x:v>142</x:v>
      </x:c>
    </x:row>
    <x:row r="10">
      <x:c r="A10" t="str">
        <x:v>P1001</x:v>
      </x:c>
      <x:c r="B10" t="str">
        <x:v>P1001-T09</x:v>
      </x:c>
      <x:c r="C10" t="str">
        <x:v>Structural</x:v>
      </x:c>
      <x:c r="D10" t="n">
        <x:v>2582</x:v>
      </x:c>
      <x:c r="E10" t="n">
        <x:v>2576</x:v>
      </x:c>
      <x:c r="F10" t="n">
        <x:v>-6</x:v>
      </x:c>
    </x:row>
    <x:row r="11">
      <x:c r="A11" t="str">
        <x:v>P1001</x:v>
      </x:c>
      <x:c r="B11" t="str">
        <x:v>P1001-T10</x:v>
      </x:c>
      <x:c r="C11" t="str">
        <x:v>Structural</x:v>
      </x:c>
      <x:c r="D11" t="n">
        <x:v>1618</x:v>
      </x:c>
      <x:c r="E11" t="n">
        <x:v>2017</x:v>
      </x:c>
      <x:c r="F11" t="n">
        <x:v>399</x:v>
      </x:c>
    </x:row>
    <x:row r="12">
      <x:c r="A12" t="str">
        <x:v>P1001</x:v>
      </x:c>
      <x:c r="B12" t="str">
        <x:v>P1001-T11</x:v>
      </x:c>
      <x:c r="C12" t="str">
        <x:v>Mechanical</x:v>
      </x:c>
      <x:c r="D12" t="n">
        <x:v>3086</x:v>
      </x:c>
      <x:c r="E12" t="n">
        <x:v>3515</x:v>
      </x:c>
      <x:c r="F12" t="n">
        <x:v>429</x:v>
      </x:c>
    </x:row>
    <x:row r="13">
      <x:c r="A13" t="str">
        <x:v>P1001</x:v>
      </x:c>
      <x:c r="B13" t="str">
        <x:v>P1001-T12</x:v>
      </x:c>
      <x:c r="C13" t="str">
        <x:v>Mechanical</x:v>
      </x:c>
      <x:c r="D13" t="n">
        <x:v>2888</x:v>
      </x:c>
      <x:c r="E13" t="n">
        <x:v>3248</x:v>
      </x:c>
      <x:c r="F13" t="n">
        <x:v>360</x:v>
      </x:c>
    </x:row>
    <x:row r="14">
      <x:c r="A14" t="str">
        <x:v>P1001</x:v>
      </x:c>
      <x:c r="B14" t="str">
        <x:v>P1001-T13</x:v>
      </x:c>
      <x:c r="C14" t="str">
        <x:v>Mechanical</x:v>
      </x:c>
      <x:c r="D14" t="n">
        <x:v>3325</x:v>
      </x:c>
      <x:c r="E14" t="n">
        <x:v>4128</x:v>
      </x:c>
      <x:c r="F14" t="n">
        <x:v>803</x:v>
      </x:c>
    </x:row>
    <x:row r="15">
      <x:c r="A15" t="str">
        <x:v>P1001</x:v>
      </x:c>
      <x:c r="B15" t="str">
        <x:v>P1001-T14</x:v>
      </x:c>
      <x:c r="C15" t="str">
        <x:v>Mechanical</x:v>
      </x:c>
      <x:c r="D15" t="n">
        <x:v>3572</x:v>
      </x:c>
      <x:c r="E15" t="n">
        <x:v>4532</x:v>
      </x:c>
      <x:c r="F15" t="n">
        <x:v>960</x:v>
      </x:c>
    </x:row>
    <x:row r="16">
      <x:c r="A16" t="str">
        <x:v>P1001</x:v>
      </x:c>
      <x:c r="B16" t="str">
        <x:v>P1001-T15</x:v>
      </x:c>
      <x:c r="C16" t="str">
        <x:v>Mechanical</x:v>
      </x:c>
      <x:c r="D16" t="n">
        <x:v>1972</x:v>
      </x:c>
      <x:c r="E16" t="n">
        <x:v>2315</x:v>
      </x:c>
      <x:c r="F16" t="n">
        <x:v>343</x:v>
      </x:c>
    </x:row>
    <x:row r="17">
      <x:c r="A17" t="str">
        <x:v>P1001</x:v>
      </x:c>
      <x:c r="B17" t="str">
        <x:v>P1001-T16</x:v>
      </x:c>
      <x:c r="C17" t="str">
        <x:v>Electrical</x:v>
      </x:c>
      <x:c r="D17" t="n">
        <x:v>2307</x:v>
      </x:c>
      <x:c r="E17" t="n">
        <x:v>2315</x:v>
      </x:c>
      <x:c r="F17" t="n">
        <x:v>8</x:v>
      </x:c>
    </x:row>
    <x:row r="18">
      <x:c r="A18" t="str">
        <x:v>P1001</x:v>
      </x:c>
      <x:c r="B18" t="str">
        <x:v>P1001-T17</x:v>
      </x:c>
      <x:c r="C18" t="str">
        <x:v>Electrical</x:v>
      </x:c>
      <x:c r="D18" t="n">
        <x:v>2589</x:v>
      </x:c>
      <x:c r="E18" t="n">
        <x:v>3195</x:v>
      </x:c>
      <x:c r="F18" t="n">
        <x:v>606</x:v>
      </x:c>
    </x:row>
    <x:row r="19">
      <x:c r="A19" t="str">
        <x:v>P1001</x:v>
      </x:c>
      <x:c r="B19" t="str">
        <x:v>P1001-T18</x:v>
      </x:c>
      <x:c r="C19" t="str">
        <x:v>Electrical</x:v>
      </x:c>
      <x:c r="D19" t="n">
        <x:v>2684</x:v>
      </x:c>
      <x:c r="E19" t="n">
        <x:v>2893</x:v>
      </x:c>
      <x:c r="F19" t="n">
        <x:v>209</x:v>
      </x:c>
    </x:row>
    <x:row r="20">
      <x:c r="A20" t="str">
        <x:v>P1001</x:v>
      </x:c>
      <x:c r="B20" t="str">
        <x:v>P1001-T19</x:v>
      </x:c>
      <x:c r="C20" t="str">
        <x:v>Electrical</x:v>
      </x:c>
      <x:c r="D20" t="n">
        <x:v>2371</x:v>
      </x:c>
      <x:c r="E20" t="n">
        <x:v>2213</x:v>
      </x:c>
      <x:c r="F20" t="n">
        <x:v>-158</x:v>
      </x:c>
    </x:row>
    <x:row r="21">
      <x:c r="A21" t="str">
        <x:v>P1001</x:v>
      </x:c>
      <x:c r="B21" t="str">
        <x:v>P1001-T20</x:v>
      </x:c>
      <x:c r="C21" t="str">
        <x:v>Electrical</x:v>
      </x:c>
      <x:c r="D21" t="n">
        <x:v>3153</x:v>
      </x:c>
      <x:c r="E21" t="n">
        <x:v>3640</x:v>
      </x:c>
      <x:c r="F21" t="n">
        <x:v>487</x:v>
      </x:c>
    </x:row>
    <x:row r="22">
      <x:c r="A22" t="str">
        <x:v>P1001</x:v>
      </x:c>
      <x:c r="B22" t="str">
        <x:v>P1001-T21</x:v>
      </x:c>
      <x:c r="C22" t="str">
        <x:v>Instrumentation</x:v>
      </x:c>
      <x:c r="D22" t="n">
        <x:v>2096</x:v>
      </x:c>
      <x:c r="E22" t="n">
        <x:v>2288</x:v>
      </x:c>
      <x:c r="F22" t="n">
        <x:v>192</x:v>
      </x:c>
    </x:row>
    <x:row r="23">
      <x:c r="A23" t="str">
        <x:v>P1001</x:v>
      </x:c>
      <x:c r="B23" t="str">
        <x:v>P1001-T22</x:v>
      </x:c>
      <x:c r="C23" t="str">
        <x:v>Instrumentation</x:v>
      </x:c>
      <x:c r="D23" t="n">
        <x:v>3875</x:v>
      </x:c>
      <x:c r="E23" t="n">
        <x:v>3508</x:v>
      </x:c>
      <x:c r="F23" t="n">
        <x:v>-367</x:v>
      </x:c>
    </x:row>
    <x:row r="24">
      <x:c r="A24" t="str">
        <x:v>P1001</x:v>
      </x:c>
      <x:c r="B24" t="str">
        <x:v>P1001-T23</x:v>
      </x:c>
      <x:c r="C24" t="str">
        <x:v>Instrumentation</x:v>
      </x:c>
      <x:c r="D24" t="n">
        <x:v>3391</x:v>
      </x:c>
      <x:c r="E24" t="n">
        <x:v>4582</x:v>
      </x:c>
      <x:c r="F24" t="n">
        <x:v>1191</x:v>
      </x:c>
    </x:row>
    <x:row r="25">
      <x:c r="A25" t="str">
        <x:v>P1001</x:v>
      </x:c>
      <x:c r="B25" t="str">
        <x:v>P1001-T24</x:v>
      </x:c>
      <x:c r="C25" t="str">
        <x:v>Instrumentation</x:v>
      </x:c>
      <x:c r="D25" t="n">
        <x:v>1783</x:v>
      </x:c>
      <x:c r="E25" t="n">
        <x:v>2435</x:v>
      </x:c>
      <x:c r="F25" t="n">
        <x:v>652</x:v>
      </x:c>
    </x:row>
    <x:row r="26">
      <x:c r="A26" t="str">
        <x:v>P1001</x:v>
      </x:c>
      <x:c r="B26" t="str">
        <x:v>P1001-T25</x:v>
      </x:c>
      <x:c r="C26" t="str">
        <x:v>Instrumentation</x:v>
      </x:c>
      <x:c r="D26" t="n">
        <x:v>3173</x:v>
      </x:c>
      <x:c r="E26" t="n">
        <x:v>3962</x:v>
      </x:c>
      <x:c r="F26" t="n">
        <x:v>789</x:v>
      </x:c>
    </x:row>
    <x:row r="27">
      <x:c r="A27" t="str">
        <x:v>P1001</x:v>
      </x:c>
      <x:c r="B27" t="str">
        <x:v>P1001-T26</x:v>
      </x:c>
      <x:c r="C27" t="str">
        <x:v>Commissioning</x:v>
      </x:c>
      <x:c r="D27" t="n">
        <x:v>2712</x:v>
      </x:c>
      <x:c r="E27" t="n">
        <x:v>3022</x:v>
      </x:c>
      <x:c r="F27" t="n">
        <x:v>310</x:v>
      </x:c>
    </x:row>
    <x:row r="28">
      <x:c r="A28" t="str">
        <x:v>P1001</x:v>
      </x:c>
      <x:c r="B28" t="str">
        <x:v>P1001-T27</x:v>
      </x:c>
      <x:c r="C28" t="str">
        <x:v>Commissioning</x:v>
      </x:c>
      <x:c r="D28" t="n">
        <x:v>2951</x:v>
      </x:c>
      <x:c r="E28" t="n">
        <x:v>2472</x:v>
      </x:c>
      <x:c r="F28" t="n">
        <x:v>-479</x:v>
      </x:c>
    </x:row>
    <x:row r="29">
      <x:c r="A29" t="str">
        <x:v>P1001</x:v>
      </x:c>
      <x:c r="B29" t="str">
        <x:v>P1001-T28</x:v>
      </x:c>
      <x:c r="C29" t="str">
        <x:v>Commissioning</x:v>
      </x:c>
      <x:c r="D29" t="n">
        <x:v>2969</x:v>
      </x:c>
      <x:c r="E29" t="n">
        <x:v>2421</x:v>
      </x:c>
      <x:c r="F29" t="n">
        <x:v>-548</x:v>
      </x:c>
    </x:row>
    <x:row r="30">
      <x:c r="A30" t="str">
        <x:v>P1001</x:v>
      </x:c>
      <x:c r="B30" t="str">
        <x:v>P1001-T29</x:v>
      </x:c>
      <x:c r="C30" t="str">
        <x:v>Commissioning</x:v>
      </x:c>
      <x:c r="D30" t="n">
        <x:v>1904</x:v>
      </x:c>
      <x:c r="E30" t="n">
        <x:v>2166</x:v>
      </x:c>
      <x:c r="F30" t="n">
        <x:v>262</x:v>
      </x:c>
    </x:row>
    <x:row r="31">
      <x:c r="A31" t="str">
        <x:v>P1001</x:v>
      </x:c>
      <x:c r="B31" t="str">
        <x:v>P1001-T30</x:v>
      </x:c>
      <x:c r="C31" t="str">
        <x:v>Commissioning</x:v>
      </x:c>
      <x:c r="D31" t="n">
        <x:v>3196</x:v>
      </x:c>
      <x:c r="E31" t="n">
        <x:v>4320</x:v>
      </x:c>
      <x:c r="F31" t="n">
        <x:v>1124</x:v>
      </x:c>
    </x:row>
    <x:row r="32">
      <x:c r="A32" t="str">
        <x:v>P1002</x:v>
      </x:c>
      <x:c r="B32" t="str">
        <x:v>P1002-T01</x:v>
      </x:c>
      <x:c r="C32" t="str">
        <x:v>Civil</x:v>
      </x:c>
      <x:c r="D32" t="n">
        <x:v>4408</x:v>
      </x:c>
      <x:c r="E32" t="n">
        <x:v>5506</x:v>
      </x:c>
      <x:c r="F32" t="n">
        <x:v>1098</x:v>
      </x:c>
    </x:row>
    <x:row r="33">
      <x:c r="A33" t="str">
        <x:v>P1002</x:v>
      </x:c>
      <x:c r="B33" t="str">
        <x:v>P1002-T02</x:v>
      </x:c>
      <x:c r="C33" t="str">
        <x:v>Civil</x:v>
      </x:c>
      <x:c r="D33" t="n">
        <x:v>2993</x:v>
      </x:c>
      <x:c r="E33" t="n">
        <x:v>2766</x:v>
      </x:c>
      <x:c r="F33" t="n">
        <x:v>-227</x:v>
      </x:c>
    </x:row>
    <x:row r="34">
      <x:c r="A34" t="str">
        <x:v>P1002</x:v>
      </x:c>
      <x:c r="B34" t="str">
        <x:v>P1002-T03</x:v>
      </x:c>
      <x:c r="C34" t="str">
        <x:v>Civil</x:v>
      </x:c>
      <x:c r="D34" t="n">
        <x:v>5112</x:v>
      </x:c>
      <x:c r="E34" t="n">
        <x:v>4642</x:v>
      </x:c>
      <x:c r="F34" t="n">
        <x:v>-470</x:v>
      </x:c>
    </x:row>
    <x:row r="35">
      <x:c r="A35" t="str">
        <x:v>P1002</x:v>
      </x:c>
      <x:c r="B35" t="str">
        <x:v>P1002-T04</x:v>
      </x:c>
      <x:c r="C35" t="str">
        <x:v>Civil</x:v>
      </x:c>
      <x:c r="D35" t="n">
        <x:v>5443</x:v>
      </x:c>
      <x:c r="E35" t="n">
        <x:v>7353</x:v>
      </x:c>
      <x:c r="F35" t="n">
        <x:v>1910</x:v>
      </x:c>
    </x:row>
    <x:row r="36">
      <x:c r="A36" t="str">
        <x:v>P1002</x:v>
      </x:c>
      <x:c r="B36" t="str">
        <x:v>P1002-T05</x:v>
      </x:c>
      <x:c r="C36" t="str">
        <x:v>Civil</x:v>
      </x:c>
      <x:c r="D36" t="n">
        <x:v>4640</x:v>
      </x:c>
      <x:c r="E36" t="n">
        <x:v>5213</x:v>
      </x:c>
      <x:c r="F36" t="n">
        <x:v>573</x:v>
      </x:c>
    </x:row>
    <x:row r="37">
      <x:c r="A37" t="str">
        <x:v>P1002</x:v>
      </x:c>
      <x:c r="B37" t="str">
        <x:v>P1002-T06</x:v>
      </x:c>
      <x:c r="C37" t="str">
        <x:v>Structural</x:v>
      </x:c>
      <x:c r="D37" t="n">
        <x:v>2555</x:v>
      </x:c>
      <x:c r="E37" t="n">
        <x:v>3139</x:v>
      </x:c>
      <x:c r="F37" t="n">
        <x:v>584</x:v>
      </x:c>
    </x:row>
    <x:row r="38">
      <x:c r="A38" t="str">
        <x:v>P1002</x:v>
      </x:c>
      <x:c r="B38" t="str">
        <x:v>P1002-T07</x:v>
      </x:c>
      <x:c r="C38" t="str">
        <x:v>Structural</x:v>
      </x:c>
      <x:c r="D38" t="n">
        <x:v>4594</x:v>
      </x:c>
      <x:c r="E38" t="n">
        <x:v>6087</x:v>
      </x:c>
      <x:c r="F38" t="n">
        <x:v>1493</x:v>
      </x:c>
    </x:row>
    <x:row r="39">
      <x:c r="A39" t="str">
        <x:v>P1002</x:v>
      </x:c>
      <x:c r="B39" t="str">
        <x:v>P1002-T08</x:v>
      </x:c>
      <x:c r="C39" t="str">
        <x:v>Structural</x:v>
      </x:c>
      <x:c r="D39" t="n">
        <x:v>6032</x:v>
      </x:c>
      <x:c r="E39" t="n">
        <x:v>7555</x:v>
      </x:c>
      <x:c r="F39" t="n">
        <x:v>1523</x:v>
      </x:c>
    </x:row>
    <x:row r="40">
      <x:c r="A40" t="str">
        <x:v>P1002</x:v>
      </x:c>
      <x:c r="B40" t="str">
        <x:v>P1002-T09</x:v>
      </x:c>
      <x:c r="C40" t="str">
        <x:v>Structural</x:v>
      </x:c>
      <x:c r="D40" t="n">
        <x:v>3135</x:v>
      </x:c>
      <x:c r="E40" t="n">
        <x:v>3428</x:v>
      </x:c>
      <x:c r="F40" t="n">
        <x:v>293</x:v>
      </x:c>
    </x:row>
    <x:row r="41">
      <x:c r="A41" t="str">
        <x:v>P1002</x:v>
      </x:c>
      <x:c r="B41" t="str">
        <x:v>P1002-T10</x:v>
      </x:c>
      <x:c r="C41" t="str">
        <x:v>Structural</x:v>
      </x:c>
      <x:c r="D41" t="n">
        <x:v>3694</x:v>
      </x:c>
      <x:c r="E41" t="n">
        <x:v>4817</x:v>
      </x:c>
      <x:c r="F41" t="n">
        <x:v>1123</x:v>
      </x:c>
    </x:row>
    <x:row r="42">
      <x:c r="A42" t="str">
        <x:v>P1002</x:v>
      </x:c>
      <x:c r="B42" t="str">
        <x:v>P1002-T11</x:v>
      </x:c>
      <x:c r="C42" t="str">
        <x:v>Mechanical</x:v>
      </x:c>
      <x:c r="D42" t="n">
        <x:v>5364</x:v>
      </x:c>
      <x:c r="E42" t="n">
        <x:v>4935</x:v>
      </x:c>
      <x:c r="F42" t="n">
        <x:v>-429</x:v>
      </x:c>
    </x:row>
    <x:row r="43">
      <x:c r="A43" t="str">
        <x:v>P1002</x:v>
      </x:c>
      <x:c r="B43" t="str">
        <x:v>P1002-T12</x:v>
      </x:c>
      <x:c r="C43" t="str">
        <x:v>Mechanical</x:v>
      </x:c>
      <x:c r="D43" t="n">
        <x:v>4265</x:v>
      </x:c>
      <x:c r="E43" t="n">
        <x:v>3973</x:v>
      </x:c>
      <x:c r="F43" t="n">
        <x:v>-292</x:v>
      </x:c>
    </x:row>
    <x:row r="44">
      <x:c r="A44" t="str">
        <x:v>P1002</x:v>
      </x:c>
      <x:c r="B44" t="str">
        <x:v>P1002-T13</x:v>
      </x:c>
      <x:c r="C44" t="str">
        <x:v>Mechanical</x:v>
      </x:c>
      <x:c r="D44" t="n">
        <x:v>2937</x:v>
      </x:c>
      <x:c r="E44" t="n">
        <x:v>2765</x:v>
      </x:c>
      <x:c r="F44" t="n">
        <x:v>-172</x:v>
      </x:c>
    </x:row>
    <x:row r="45">
      <x:c r="A45" t="str">
        <x:v>P1002</x:v>
      </x:c>
      <x:c r="B45" t="str">
        <x:v>P1002-T14</x:v>
      </x:c>
      <x:c r="C45" t="str">
        <x:v>Mechanical</x:v>
      </x:c>
      <x:c r="D45" t="n">
        <x:v>2859</x:v>
      </x:c>
      <x:c r="E45" t="n">
        <x:v>2595</x:v>
      </x:c>
      <x:c r="F45" t="n">
        <x:v>-264</x:v>
      </x:c>
    </x:row>
    <x:row r="46">
      <x:c r="A46" t="str">
        <x:v>P1002</x:v>
      </x:c>
      <x:c r="B46" t="str">
        <x:v>P1002-T15</x:v>
      </x:c>
      <x:c r="C46" t="str">
        <x:v>Mechanical</x:v>
      </x:c>
      <x:c r="D46" t="n">
        <x:v>4202</x:v>
      </x:c>
      <x:c r="E46" t="n">
        <x:v>3767</x:v>
      </x:c>
      <x:c r="F46" t="n">
        <x:v>-435</x:v>
      </x:c>
    </x:row>
    <x:row r="47">
      <x:c r="A47" t="str">
        <x:v>P1002</x:v>
      </x:c>
      <x:c r="B47" t="str">
        <x:v>P1002-T16</x:v>
      </x:c>
      <x:c r="C47" t="str">
        <x:v>Electrical</x:v>
      </x:c>
      <x:c r="D47" t="n">
        <x:v>2558</x:v>
      </x:c>
      <x:c r="E47" t="n">
        <x:v>2140</x:v>
      </x:c>
      <x:c r="F47" t="n">
        <x:v>-418</x:v>
      </x:c>
    </x:row>
    <x:row r="48">
      <x:c r="A48" t="str">
        <x:v>P1002</x:v>
      </x:c>
      <x:c r="B48" t="str">
        <x:v>P1002-T17</x:v>
      </x:c>
      <x:c r="C48" t="str">
        <x:v>Electrical</x:v>
      </x:c>
      <x:c r="D48" t="n">
        <x:v>2893</x:v>
      </x:c>
      <x:c r="E48" t="n">
        <x:v>2647</x:v>
      </x:c>
      <x:c r="F48" t="n">
        <x:v>-246</x:v>
      </x:c>
    </x:row>
    <x:row r="49">
      <x:c r="A49" t="str">
        <x:v>P1002</x:v>
      </x:c>
      <x:c r="B49" t="str">
        <x:v>P1002-T18</x:v>
      </x:c>
      <x:c r="C49" t="str">
        <x:v>Electrical</x:v>
      </x:c>
      <x:c r="D49" t="n">
        <x:v>4843</x:v>
      </x:c>
      <x:c r="E49" t="n">
        <x:v>5945</x:v>
      </x:c>
      <x:c r="F49" t="n">
        <x:v>1102</x:v>
      </x:c>
    </x:row>
    <x:row r="50">
      <x:c r="A50" t="str">
        <x:v>P1002</x:v>
      </x:c>
      <x:c r="B50" t="str">
        <x:v>P1002-T19</x:v>
      </x:c>
      <x:c r="C50" t="str">
        <x:v>Electrical</x:v>
      </x:c>
      <x:c r="D50" t="n">
        <x:v>3088</x:v>
      </x:c>
      <x:c r="E50" t="n">
        <x:v>2723</x:v>
      </x:c>
      <x:c r="F50" t="n">
        <x:v>-365</x:v>
      </x:c>
    </x:row>
    <x:row r="51">
      <x:c r="A51" t="str">
        <x:v>P1002</x:v>
      </x:c>
      <x:c r="B51" t="str">
        <x:v>P1002-T20</x:v>
      </x:c>
      <x:c r="C51" t="str">
        <x:v>Electrical</x:v>
      </x:c>
      <x:c r="D51" t="n">
        <x:v>4932</x:v>
      </x:c>
      <x:c r="E51" t="n">
        <x:v>5445</x:v>
      </x:c>
      <x:c r="F51" t="n">
        <x:v>513</x:v>
      </x:c>
    </x:row>
    <x:row r="52">
      <x:c r="A52" t="str">
        <x:v>P1002</x:v>
      </x:c>
      <x:c r="B52" t="str">
        <x:v>P1002-T21</x:v>
      </x:c>
      <x:c r="C52" t="str">
        <x:v>Instrumentation</x:v>
      </x:c>
      <x:c r="D52" t="n">
        <x:v>3883</x:v>
      </x:c>
      <x:c r="E52" t="n">
        <x:v>4135</x:v>
      </x:c>
      <x:c r="F52" t="n">
        <x:v>252</x:v>
      </x:c>
    </x:row>
    <x:row r="53">
      <x:c r="A53" t="str">
        <x:v>P1002</x:v>
      </x:c>
      <x:c r="B53" t="str">
        <x:v>P1002-T22</x:v>
      </x:c>
      <x:c r="C53" t="str">
        <x:v>Instrumentation</x:v>
      </x:c>
      <x:c r="D53" t="n">
        <x:v>4213</x:v>
      </x:c>
      <x:c r="E53" t="n">
        <x:v>4270</x:v>
      </x:c>
      <x:c r="F53" t="n">
        <x:v>57</x:v>
      </x:c>
    </x:row>
    <x:row r="54">
      <x:c r="A54" t="str">
        <x:v>P1002</x:v>
      </x:c>
      <x:c r="B54" t="str">
        <x:v>P1002-T23</x:v>
      </x:c>
      <x:c r="C54" t="str">
        <x:v>Instrumentation</x:v>
      </x:c>
      <x:c r="D54" t="n">
        <x:v>2883</x:v>
      </x:c>
      <x:c r="E54" t="n">
        <x:v>3782</x:v>
      </x:c>
      <x:c r="F54" t="n">
        <x:v>899</x:v>
      </x:c>
    </x:row>
    <x:row r="55">
      <x:c r="A55" t="str">
        <x:v>P1002</x:v>
      </x:c>
      <x:c r="B55" t="str">
        <x:v>P1002-T24</x:v>
      </x:c>
      <x:c r="C55" t="str">
        <x:v>Instrumentation</x:v>
      </x:c>
      <x:c r="D55" t="n">
        <x:v>4455</x:v>
      </x:c>
      <x:c r="E55" t="n">
        <x:v>4000</x:v>
      </x:c>
      <x:c r="F55" t="n">
        <x:v>-455</x:v>
      </x:c>
    </x:row>
    <x:row r="56">
      <x:c r="A56" t="str">
        <x:v>P1002</x:v>
      </x:c>
      <x:c r="B56" t="str">
        <x:v>P1002-T25</x:v>
      </x:c>
      <x:c r="C56" t="str">
        <x:v>Instrumentation</x:v>
      </x:c>
      <x:c r="D56" t="n">
        <x:v>3637</x:v>
      </x:c>
      <x:c r="E56" t="n">
        <x:v>3048</x:v>
      </x:c>
      <x:c r="F56" t="n">
        <x:v>-589</x:v>
      </x:c>
    </x:row>
    <x:row r="57">
      <x:c r="A57" t="str">
        <x:v>P1002</x:v>
      </x:c>
      <x:c r="B57" t="str">
        <x:v>P1002-T26</x:v>
      </x:c>
      <x:c r="C57" t="str">
        <x:v>Commissioning</x:v>
      </x:c>
      <x:c r="D57" t="n">
        <x:v>3282</x:v>
      </x:c>
      <x:c r="E57" t="n">
        <x:v>3328</x:v>
      </x:c>
      <x:c r="F57" t="n">
        <x:v>46</x:v>
      </x:c>
    </x:row>
    <x:row r="58">
      <x:c r="A58" t="str">
        <x:v>P1002</x:v>
      </x:c>
      <x:c r="B58" t="str">
        <x:v>P1002-T27</x:v>
      </x:c>
      <x:c r="C58" t="str">
        <x:v>Commissioning</x:v>
      </x:c>
      <x:c r="D58" t="n">
        <x:v>4479</x:v>
      </x:c>
      <x:c r="E58" t="n">
        <x:v>4130</x:v>
      </x:c>
      <x:c r="F58" t="n">
        <x:v>-349</x:v>
      </x:c>
    </x:row>
    <x:row r="59">
      <x:c r="A59" t="str">
        <x:v>P1002</x:v>
      </x:c>
      <x:c r="B59" t="str">
        <x:v>P1002-T28</x:v>
      </x:c>
      <x:c r="C59" t="str">
        <x:v>Commissioning</x:v>
      </x:c>
      <x:c r="D59" t="n">
        <x:v>4044</x:v>
      </x:c>
      <x:c r="E59" t="n">
        <x:v>3516</x:v>
      </x:c>
      <x:c r="F59" t="n">
        <x:v>-528</x:v>
      </x:c>
    </x:row>
    <x:row r="60">
      <x:c r="A60" t="str">
        <x:v>P1002</x:v>
      </x:c>
      <x:c r="B60" t="str">
        <x:v>P1002-T29</x:v>
      </x:c>
      <x:c r="C60" t="str">
        <x:v>Commissioning</x:v>
      </x:c>
      <x:c r="D60" t="n">
        <x:v>2632</x:v>
      </x:c>
      <x:c r="E60" t="n">
        <x:v>2659</x:v>
      </x:c>
      <x:c r="F60" t="n">
        <x:v>27</x:v>
      </x:c>
    </x:row>
    <x:row r="61">
      <x:c r="A61" t="str">
        <x:v>P1002</x:v>
      </x:c>
      <x:c r="B61" t="str">
        <x:v>P1002-T30</x:v>
      </x:c>
      <x:c r="C61" t="str">
        <x:v>Commissioning</x:v>
      </x:c>
      <x:c r="D61" t="n">
        <x:v>3544</x:v>
      </x:c>
      <x:c r="E61" t="n">
        <x:v>3393</x:v>
      </x:c>
      <x:c r="F61" t="n">
        <x:v>-151</x:v>
      </x:c>
    </x:row>
    <x:row r="62">
      <x:c r="A62" t="str">
        <x:v>P1003</x:v>
      </x:c>
      <x:c r="B62" t="str">
        <x:v>P1003-T01</x:v>
      </x:c>
      <x:c r="C62" t="str">
        <x:v>Civil</x:v>
      </x:c>
      <x:c r="D62" t="n">
        <x:v>1189</x:v>
      </x:c>
      <x:c r="E62" t="n">
        <x:v>1213</x:v>
      </x:c>
      <x:c r="F62" t="n">
        <x:v>24</x:v>
      </x:c>
    </x:row>
    <x:row r="63">
      <x:c r="A63" t="str">
        <x:v>P1003</x:v>
      </x:c>
      <x:c r="B63" t="str">
        <x:v>P1003-T02</x:v>
      </x:c>
      <x:c r="C63" t="str">
        <x:v>Civil</x:v>
      </x:c>
      <x:c r="D63" t="n">
        <x:v>1048</x:v>
      </x:c>
      <x:c r="E63" t="n">
        <x:v>871</x:v>
      </x:c>
      <x:c r="F63" t="n">
        <x:v>-177</x:v>
      </x:c>
    </x:row>
    <x:row r="64">
      <x:c r="A64" t="str">
        <x:v>P1003</x:v>
      </x:c>
      <x:c r="B64" t="str">
        <x:v>P1003-T03</x:v>
      </x:c>
      <x:c r="C64" t="str">
        <x:v>Civil</x:v>
      </x:c>
      <x:c r="D64" t="n">
        <x:v>1134</x:v>
      </x:c>
      <x:c r="E64" t="n">
        <x:v>1081</x:v>
      </x:c>
      <x:c r="F64" t="n">
        <x:v>-53</x:v>
      </x:c>
    </x:row>
    <x:row r="65">
      <x:c r="A65" t="str">
        <x:v>P1003</x:v>
      </x:c>
      <x:c r="B65" t="str">
        <x:v>P1003-T04</x:v>
      </x:c>
      <x:c r="C65" t="str">
        <x:v>Civil</x:v>
      </x:c>
      <x:c r="D65" t="n">
        <x:v>1724</x:v>
      </x:c>
      <x:c r="E65" t="n">
        <x:v>1659</x:v>
      </x:c>
      <x:c r="F65" t="n">
        <x:v>-65</x:v>
      </x:c>
    </x:row>
    <x:row r="66">
      <x:c r="A66" t="str">
        <x:v>P1003</x:v>
      </x:c>
      <x:c r="B66" t="str">
        <x:v>P1003-T05</x:v>
      </x:c>
      <x:c r="C66" t="str">
        <x:v>Civil</x:v>
      </x:c>
      <x:c r="D66" t="n">
        <x:v>1642</x:v>
      </x:c>
      <x:c r="E66" t="n">
        <x:v>1744</x:v>
      </x:c>
      <x:c r="F66" t="n">
        <x:v>102</x:v>
      </x:c>
    </x:row>
    <x:row r="67">
      <x:c r="A67" t="str">
        <x:v>P1003</x:v>
      </x:c>
      <x:c r="B67" t="str">
        <x:v>P1003-T06</x:v>
      </x:c>
      <x:c r="C67" t="str">
        <x:v>Structural</x:v>
      </x:c>
      <x:c r="D67" t="n">
        <x:v>1774</x:v>
      </x:c>
      <x:c r="E67" t="n">
        <x:v>1946</x:v>
      </x:c>
      <x:c r="F67" t="n">
        <x:v>172</x:v>
      </x:c>
    </x:row>
    <x:row r="68">
      <x:c r="A68" t="str">
        <x:v>P1003</x:v>
      </x:c>
      <x:c r="B68" t="str">
        <x:v>P1003-T07</x:v>
      </x:c>
      <x:c r="C68" t="str">
        <x:v>Structural</x:v>
      </x:c>
      <x:c r="D68" t="n">
        <x:v>2108</x:v>
      </x:c>
      <x:c r="E68" t="n">
        <x:v>2384</x:v>
      </x:c>
      <x:c r="F68" t="n">
        <x:v>276</x:v>
      </x:c>
    </x:row>
    <x:row r="69">
      <x:c r="A69" t="str">
        <x:v>P1003</x:v>
      </x:c>
      <x:c r="B69" t="str">
        <x:v>P1003-T08</x:v>
      </x:c>
      <x:c r="C69" t="str">
        <x:v>Structural</x:v>
      </x:c>
      <x:c r="D69" t="n">
        <x:v>1610</x:v>
      </x:c>
      <x:c r="E69" t="n">
        <x:v>2343</x:v>
      </x:c>
      <x:c r="F69" t="n">
        <x:v>733</x:v>
      </x:c>
    </x:row>
    <x:row r="70">
      <x:c r="A70" t="str">
        <x:v>P1003</x:v>
      </x:c>
      <x:c r="B70" t="str">
        <x:v>P1003-T09</x:v>
      </x:c>
      <x:c r="C70" t="str">
        <x:v>Structural</x:v>
      </x:c>
      <x:c r="D70" t="n">
        <x:v>1667</x:v>
      </x:c>
      <x:c r="E70" t="n">
        <x:v>1927</x:v>
      </x:c>
      <x:c r="F70" t="n">
        <x:v>260</x:v>
      </x:c>
    </x:row>
    <x:row r="71">
      <x:c r="A71" t="str">
        <x:v>P1003</x:v>
      </x:c>
      <x:c r="B71" t="str">
        <x:v>P1003-T10</x:v>
      </x:c>
      <x:c r="C71" t="str">
        <x:v>Structural</x:v>
      </x:c>
      <x:c r="D71" t="n">
        <x:v>1748</x:v>
      </x:c>
      <x:c r="E71" t="n">
        <x:v>1914</x:v>
      </x:c>
      <x:c r="F71" t="n">
        <x:v>166</x:v>
      </x:c>
    </x:row>
    <x:row r="72">
      <x:c r="A72" t="str">
        <x:v>P1003</x:v>
      </x:c>
      <x:c r="B72" t="str">
        <x:v>P1003-T11</x:v>
      </x:c>
      <x:c r="C72" t="str">
        <x:v>Mechanical</x:v>
      </x:c>
      <x:c r="D72" t="n">
        <x:v>1368</x:v>
      </x:c>
      <x:c r="E72" t="n">
        <x:v>1539</x:v>
      </x:c>
      <x:c r="F72" t="n">
        <x:v>171</x:v>
      </x:c>
    </x:row>
    <x:row r="73">
      <x:c r="A73" t="str">
        <x:v>P1003</x:v>
      </x:c>
      <x:c r="B73" t="str">
        <x:v>P1003-T12</x:v>
      </x:c>
      <x:c r="C73" t="str">
        <x:v>Mechanical</x:v>
      </x:c>
      <x:c r="D73" t="n">
        <x:v>1284</x:v>
      </x:c>
      <x:c r="E73" t="n">
        <x:v>1096</x:v>
      </x:c>
      <x:c r="F73" t="n">
        <x:v>-188</x:v>
      </x:c>
    </x:row>
    <x:row r="74">
      <x:c r="A74" t="str">
        <x:v>P1003</x:v>
      </x:c>
      <x:c r="B74" t="str">
        <x:v>P1003-T13</x:v>
      </x:c>
      <x:c r="C74" t="str">
        <x:v>Mechanical</x:v>
      </x:c>
      <x:c r="D74" t="n">
        <x:v>1594</x:v>
      </x:c>
      <x:c r="E74" t="n">
        <x:v>2113</x:v>
      </x:c>
      <x:c r="F74" t="n">
        <x:v>519</x:v>
      </x:c>
    </x:row>
    <x:row r="75">
      <x:c r="A75" t="str">
        <x:v>P1003</x:v>
      </x:c>
      <x:c r="B75" t="str">
        <x:v>P1003-T14</x:v>
      </x:c>
      <x:c r="C75" t="str">
        <x:v>Mechanical</x:v>
      </x:c>
      <x:c r="D75" t="n">
        <x:v>977</x:v>
      </x:c>
      <x:c r="E75" t="n">
        <x:v>1295</x:v>
      </x:c>
      <x:c r="F75" t="n">
        <x:v>318</x:v>
      </x:c>
    </x:row>
    <x:row r="76">
      <x:c r="A76" t="str">
        <x:v>P1003</x:v>
      </x:c>
      <x:c r="B76" t="str">
        <x:v>P1003-T15</x:v>
      </x:c>
      <x:c r="C76" t="str">
        <x:v>Mechanical</x:v>
      </x:c>
      <x:c r="D76" t="n">
        <x:v>2362</x:v>
      </x:c>
      <x:c r="E76" t="n">
        <x:v>2822</x:v>
      </x:c>
      <x:c r="F76" t="n">
        <x:v>460</x:v>
      </x:c>
    </x:row>
    <x:row r="77">
      <x:c r="A77" t="str">
        <x:v>P1003</x:v>
      </x:c>
      <x:c r="B77" t="str">
        <x:v>P1003-T16</x:v>
      </x:c>
      <x:c r="C77" t="str">
        <x:v>Electrical</x:v>
      </x:c>
      <x:c r="D77" t="n">
        <x:v>2194</x:v>
      </x:c>
      <x:c r="E77" t="n">
        <x:v>2526</x:v>
      </x:c>
      <x:c r="F77" t="n">
        <x:v>332</x:v>
      </x:c>
    </x:row>
    <x:row r="78">
      <x:c r="A78" t="str">
        <x:v>P1003</x:v>
      </x:c>
      <x:c r="B78" t="str">
        <x:v>P1003-T17</x:v>
      </x:c>
      <x:c r="C78" t="str">
        <x:v>Electrical</x:v>
      </x:c>
      <x:c r="D78" t="n">
        <x:v>1932</x:v>
      </x:c>
      <x:c r="E78" t="n">
        <x:v>2195</x:v>
      </x:c>
      <x:c r="F78" t="n">
        <x:v>263</x:v>
      </x:c>
    </x:row>
    <x:row r="79">
      <x:c r="A79" t="str">
        <x:v>P1003</x:v>
      </x:c>
      <x:c r="B79" t="str">
        <x:v>P1003-T18</x:v>
      </x:c>
      <x:c r="C79" t="str">
        <x:v>Electrical</x:v>
      </x:c>
      <x:c r="D79" t="n">
        <x:v>1779</x:v>
      </x:c>
      <x:c r="E79" t="n">
        <x:v>2108</x:v>
      </x:c>
      <x:c r="F79" t="n">
        <x:v>329</x:v>
      </x:c>
    </x:row>
    <x:row r="80">
      <x:c r="A80" t="str">
        <x:v>P1003</x:v>
      </x:c>
      <x:c r="B80" t="str">
        <x:v>P1003-T19</x:v>
      </x:c>
      <x:c r="C80" t="str">
        <x:v>Electrical</x:v>
      </x:c>
      <x:c r="D80" t="n">
        <x:v>1675</x:v>
      </x:c>
      <x:c r="E80" t="n">
        <x:v>1805</x:v>
      </x:c>
      <x:c r="F80" t="n">
        <x:v>130</x:v>
      </x:c>
    </x:row>
    <x:row r="81">
      <x:c r="A81" t="str">
        <x:v>P1003</x:v>
      </x:c>
      <x:c r="B81" t="str">
        <x:v>P1003-T20</x:v>
      </x:c>
      <x:c r="C81" t="str">
        <x:v>Electrical</x:v>
      </x:c>
      <x:c r="D81" t="n">
        <x:v>1854</x:v>
      </x:c>
      <x:c r="E81" t="n">
        <x:v>2218</x:v>
      </x:c>
      <x:c r="F81" t="n">
        <x:v>364</x:v>
      </x:c>
    </x:row>
    <x:row r="82">
      <x:c r="A82" t="str">
        <x:v>P1003</x:v>
      </x:c>
      <x:c r="B82" t="str">
        <x:v>P1003-T21</x:v>
      </x:c>
      <x:c r="C82" t="str">
        <x:v>Instrumentation</x:v>
      </x:c>
      <x:c r="D82" t="n">
        <x:v>1642</x:v>
      </x:c>
      <x:c r="E82" t="n">
        <x:v>1709</x:v>
      </x:c>
      <x:c r="F82" t="n">
        <x:v>67</x:v>
      </x:c>
    </x:row>
    <x:row r="83">
      <x:c r="A83" t="str">
        <x:v>P1003</x:v>
      </x:c>
      <x:c r="B83" t="str">
        <x:v>P1003-T22</x:v>
      </x:c>
      <x:c r="C83" t="str">
        <x:v>Instrumentation</x:v>
      </x:c>
      <x:c r="D83" t="n">
        <x:v>1110</x:v>
      </x:c>
      <x:c r="E83" t="n">
        <x:v>1667</x:v>
      </x:c>
      <x:c r="F83" t="n">
        <x:v>557</x:v>
      </x:c>
    </x:row>
    <x:row r="84">
      <x:c r="A84" t="str">
        <x:v>P1003</x:v>
      </x:c>
      <x:c r="B84" t="str">
        <x:v>P1003-T23</x:v>
      </x:c>
      <x:c r="C84" t="str">
        <x:v>Instrumentation</x:v>
      </x:c>
      <x:c r="D84" t="n">
        <x:v>1870</x:v>
      </x:c>
      <x:c r="E84" t="n">
        <x:v>1864</x:v>
      </x:c>
      <x:c r="F84" t="n">
        <x:v>-6</x:v>
      </x:c>
    </x:row>
    <x:row r="85">
      <x:c r="A85" t="str">
        <x:v>P1003</x:v>
      </x:c>
      <x:c r="B85" t="str">
        <x:v>P1003-T24</x:v>
      </x:c>
      <x:c r="C85" t="str">
        <x:v>Instrumentation</x:v>
      </x:c>
      <x:c r="D85" t="n">
        <x:v>2164</x:v>
      </x:c>
      <x:c r="E85" t="n">
        <x:v>2692</x:v>
      </x:c>
      <x:c r="F85" t="n">
        <x:v>528</x:v>
      </x:c>
    </x:row>
    <x:row r="86">
      <x:c r="A86" t="str">
        <x:v>P1003</x:v>
      </x:c>
      <x:c r="B86" t="str">
        <x:v>P1003-T25</x:v>
      </x:c>
      <x:c r="C86" t="str">
        <x:v>Instrumentation</x:v>
      </x:c>
      <x:c r="D86" t="n">
        <x:v>1967</x:v>
      </x:c>
      <x:c r="E86" t="n">
        <x:v>2641</x:v>
      </x:c>
      <x:c r="F86" t="n">
        <x:v>674</x:v>
      </x:c>
    </x:row>
    <x:row r="87">
      <x:c r="A87" t="str">
        <x:v>P1003</x:v>
      </x:c>
      <x:c r="B87" t="str">
        <x:v>P1003-T26</x:v>
      </x:c>
      <x:c r="C87" t="str">
        <x:v>Commissioning</x:v>
      </x:c>
      <x:c r="D87" t="n">
        <x:v>1746</x:v>
      </x:c>
      <x:c r="E87" t="n">
        <x:v>2185</x:v>
      </x:c>
      <x:c r="F87" t="n">
        <x:v>439</x:v>
      </x:c>
    </x:row>
    <x:row r="88">
      <x:c r="A88" t="str">
        <x:v>P1003</x:v>
      </x:c>
      <x:c r="B88" t="str">
        <x:v>P1003-T27</x:v>
      </x:c>
      <x:c r="C88" t="str">
        <x:v>Commissioning</x:v>
      </x:c>
      <x:c r="D88" t="n">
        <x:v>973</x:v>
      </x:c>
      <x:c r="E88" t="n">
        <x:v>1237</x:v>
      </x:c>
      <x:c r="F88" t="n">
        <x:v>264</x:v>
      </x:c>
    </x:row>
    <x:row r="89">
      <x:c r="A89" t="str">
        <x:v>P1003</x:v>
      </x:c>
      <x:c r="B89" t="str">
        <x:v>P1003-T28</x:v>
      </x:c>
      <x:c r="C89" t="str">
        <x:v>Commissioning</x:v>
      </x:c>
      <x:c r="D89" t="n">
        <x:v>881</x:v>
      </x:c>
      <x:c r="E89" t="n">
        <x:v>787</x:v>
      </x:c>
      <x:c r="F89" t="n">
        <x:v>-94</x:v>
      </x:c>
    </x:row>
    <x:row r="90">
      <x:c r="A90" t="str">
        <x:v>P1003</x:v>
      </x:c>
      <x:c r="B90" t="str">
        <x:v>P1003-T29</x:v>
      </x:c>
      <x:c r="C90" t="str">
        <x:v>Commissioning</x:v>
      </x:c>
      <x:c r="D90" t="n">
        <x:v>1684</x:v>
      </x:c>
      <x:c r="E90" t="n">
        <x:v>1905</x:v>
      </x:c>
      <x:c r="F90" t="n">
        <x:v>221</x:v>
      </x:c>
    </x:row>
    <x:row r="91">
      <x:c r="A91" t="str">
        <x:v>P1003</x:v>
      </x:c>
      <x:c r="B91" t="str">
        <x:v>P1003-T30</x:v>
      </x:c>
      <x:c r="C91" t="str">
        <x:v>Commissioning</x:v>
      </x:c>
      <x:c r="D91" t="n">
        <x:v>1596</x:v>
      </x:c>
      <x:c r="E91" t="n">
        <x:v>1504</x:v>
      </x:c>
      <x:c r="F91" t="n">
        <x:v>-92</x:v>
      </x:c>
    </x:row>
    <x:row r="92">
      <x:c r="A92" t="str">
        <x:v>P1004</x:v>
      </x:c>
      <x:c r="B92" t="str">
        <x:v>P1004-T01</x:v>
      </x:c>
      <x:c r="C92" t="str">
        <x:v>Civil</x:v>
      </x:c>
      <x:c r="D92" t="n">
        <x:v>1466</x:v>
      </x:c>
      <x:c r="E92" t="n">
        <x:v>1397</x:v>
      </x:c>
      <x:c r="F92" t="n">
        <x:v>-69</x:v>
      </x:c>
    </x:row>
    <x:row r="93">
      <x:c r="A93" t="str">
        <x:v>P1004</x:v>
      </x:c>
      <x:c r="B93" t="str">
        <x:v>P1004-T02</x:v>
      </x:c>
      <x:c r="C93" t="str">
        <x:v>Civil</x:v>
      </x:c>
      <x:c r="D93" t="n">
        <x:v>1113</x:v>
      </x:c>
      <x:c r="E93" t="n">
        <x:v>996</x:v>
      </x:c>
      <x:c r="F93" t="n">
        <x:v>-117</x:v>
      </x:c>
    </x:row>
    <x:row r="94">
      <x:c r="A94" t="str">
        <x:v>P1004</x:v>
      </x:c>
      <x:c r="B94" t="str">
        <x:v>P1004-T03</x:v>
      </x:c>
      <x:c r="C94" t="str">
        <x:v>Civil</x:v>
      </x:c>
      <x:c r="D94" t="n">
        <x:v>1756</x:v>
      </x:c>
      <x:c r="E94" t="n">
        <x:v>1829</x:v>
      </x:c>
      <x:c r="F94" t="n">
        <x:v>73</x:v>
      </x:c>
    </x:row>
    <x:row r="95">
      <x:c r="A95" t="str">
        <x:v>P1004</x:v>
      </x:c>
      <x:c r="B95" t="str">
        <x:v>P1004-T04</x:v>
      </x:c>
      <x:c r="C95" t="str">
        <x:v>Civil</x:v>
      </x:c>
      <x:c r="D95" t="n">
        <x:v>1269</x:v>
      </x:c>
      <x:c r="E95" t="n">
        <x:v>1471</x:v>
      </x:c>
      <x:c r="F95" t="n">
        <x:v>202</x:v>
      </x:c>
    </x:row>
    <x:row r="96">
      <x:c r="A96" t="str">
        <x:v>P1004</x:v>
      </x:c>
      <x:c r="B96" t="str">
        <x:v>P1004-T05</x:v>
      </x:c>
      <x:c r="C96" t="str">
        <x:v>Civil</x:v>
      </x:c>
      <x:c r="D96" t="n">
        <x:v>2585</x:v>
      </x:c>
      <x:c r="E96" t="n">
        <x:v>3437</x:v>
      </x:c>
      <x:c r="F96" t="n">
        <x:v>852</x:v>
      </x:c>
    </x:row>
    <x:row r="97">
      <x:c r="A97" t="str">
        <x:v>P1004</x:v>
      </x:c>
      <x:c r="B97" t="str">
        <x:v>P1004-T06</x:v>
      </x:c>
      <x:c r="C97" t="str">
        <x:v>Structural</x:v>
      </x:c>
      <x:c r="D97" t="n">
        <x:v>1781</x:v>
      </x:c>
      <x:c r="E97" t="n">
        <x:v>2237</x:v>
      </x:c>
      <x:c r="F97" t="n">
        <x:v>456</x:v>
      </x:c>
    </x:row>
    <x:row r="98">
      <x:c r="A98" t="str">
        <x:v>P1004</x:v>
      </x:c>
      <x:c r="B98" t="str">
        <x:v>P1004-T07</x:v>
      </x:c>
      <x:c r="C98" t="str">
        <x:v>Structural</x:v>
      </x:c>
      <x:c r="D98" t="n">
        <x:v>2461</x:v>
      </x:c>
      <x:c r="E98" t="n">
        <x:v>2691</x:v>
      </x:c>
      <x:c r="F98" t="n">
        <x:v>230</x:v>
      </x:c>
    </x:row>
    <x:row r="99">
      <x:c r="A99" t="str">
        <x:v>P1004</x:v>
      </x:c>
      <x:c r="B99" t="str">
        <x:v>P1004-T08</x:v>
      </x:c>
      <x:c r="C99" t="str">
        <x:v>Structural</x:v>
      </x:c>
      <x:c r="D99" t="n">
        <x:v>1683</x:v>
      </x:c>
      <x:c r="E99" t="n">
        <x:v>1737</x:v>
      </x:c>
      <x:c r="F99" t="n">
        <x:v>54</x:v>
      </x:c>
    </x:row>
    <x:row r="100">
      <x:c r="A100" t="str">
        <x:v>P1004</x:v>
      </x:c>
      <x:c r="B100" t="str">
        <x:v>P1004-T09</x:v>
      </x:c>
      <x:c r="C100" t="str">
        <x:v>Structural</x:v>
      </x:c>
      <x:c r="D100" t="n">
        <x:v>1456</x:v>
      </x:c>
      <x:c r="E100" t="n">
        <x:v>1853</x:v>
      </x:c>
      <x:c r="F100" t="n">
        <x:v>397</x:v>
      </x:c>
    </x:row>
    <x:row r="101">
      <x:c r="A101" t="str">
        <x:v>P1004</x:v>
      </x:c>
      <x:c r="B101" t="str">
        <x:v>P1004-T10</x:v>
      </x:c>
      <x:c r="C101" t="str">
        <x:v>Structural</x:v>
      </x:c>
      <x:c r="D101" t="n">
        <x:v>1741</x:v>
      </x:c>
      <x:c r="E101" t="n">
        <x:v>1886</x:v>
      </x:c>
      <x:c r="F101" t="n">
        <x:v>145</x:v>
      </x:c>
    </x:row>
    <x:row r="102">
      <x:c r="A102" t="str">
        <x:v>P1004</x:v>
      </x:c>
      <x:c r="B102" t="str">
        <x:v>P1004-T11</x:v>
      </x:c>
      <x:c r="C102" t="str">
        <x:v>Mechanical</x:v>
      </x:c>
      <x:c r="D102" t="n">
        <x:v>1269</x:v>
      </x:c>
      <x:c r="E102" t="n">
        <x:v>1321</x:v>
      </x:c>
      <x:c r="F102" t="n">
        <x:v>52</x:v>
      </x:c>
    </x:row>
    <x:row r="103">
      <x:c r="A103" t="str">
        <x:v>P1004</x:v>
      </x:c>
      <x:c r="B103" t="str">
        <x:v>P1004-T12</x:v>
      </x:c>
      <x:c r="C103" t="str">
        <x:v>Mechanical</x:v>
      </x:c>
      <x:c r="D103" t="n">
        <x:v>1310</x:v>
      </x:c>
      <x:c r="E103" t="n">
        <x:v>1393</x:v>
      </x:c>
      <x:c r="F103" t="n">
        <x:v>83</x:v>
      </x:c>
    </x:row>
    <x:row r="104">
      <x:c r="A104" t="str">
        <x:v>P1004</x:v>
      </x:c>
      <x:c r="B104" t="str">
        <x:v>P1004-T13</x:v>
      </x:c>
      <x:c r="C104" t="str">
        <x:v>Mechanical</x:v>
      </x:c>
      <x:c r="D104" t="n">
        <x:v>1765</x:v>
      </x:c>
      <x:c r="E104" t="n">
        <x:v>2270</x:v>
      </x:c>
      <x:c r="F104" t="n">
        <x:v>505</x:v>
      </x:c>
    </x:row>
    <x:row r="105">
      <x:c r="A105" t="str">
        <x:v>P1004</x:v>
      </x:c>
      <x:c r="B105" t="str">
        <x:v>P1004-T14</x:v>
      </x:c>
      <x:c r="C105" t="str">
        <x:v>Mechanical</x:v>
      </x:c>
      <x:c r="D105" t="n">
        <x:v>2064</x:v>
      </x:c>
      <x:c r="E105" t="n">
        <x:v>2570</x:v>
      </x:c>
      <x:c r="F105" t="n">
        <x:v>506</x:v>
      </x:c>
    </x:row>
    <x:row r="106">
      <x:c r="A106" t="str">
        <x:v>P1004</x:v>
      </x:c>
      <x:c r="B106" t="str">
        <x:v>P1004-T15</x:v>
      </x:c>
      <x:c r="C106" t="str">
        <x:v>Mechanical</x:v>
      </x:c>
      <x:c r="D106" t="n">
        <x:v>1482</x:v>
      </x:c>
      <x:c r="E106" t="n">
        <x:v>1954</x:v>
      </x:c>
      <x:c r="F106" t="n">
        <x:v>472</x:v>
      </x:c>
    </x:row>
    <x:row r="107">
      <x:c r="A107" t="str">
        <x:v>P1004</x:v>
      </x:c>
      <x:c r="B107" t="str">
        <x:v>P1004-T16</x:v>
      </x:c>
      <x:c r="C107" t="str">
        <x:v>Electrical</x:v>
      </x:c>
      <x:c r="D107" t="n">
        <x:v>2663</x:v>
      </x:c>
      <x:c r="E107" t="n">
        <x:v>2746</x:v>
      </x:c>
      <x:c r="F107" t="n">
        <x:v>83</x:v>
      </x:c>
    </x:row>
    <x:row r="108">
      <x:c r="A108" t="str">
        <x:v>P1004</x:v>
      </x:c>
      <x:c r="B108" t="str">
        <x:v>P1004-T17</x:v>
      </x:c>
      <x:c r="C108" t="str">
        <x:v>Electrical</x:v>
      </x:c>
      <x:c r="D108" t="n">
        <x:v>1422</x:v>
      </x:c>
      <x:c r="E108" t="n">
        <x:v>1519</x:v>
      </x:c>
      <x:c r="F108" t="n">
        <x:v>97</x:v>
      </x:c>
    </x:row>
    <x:row r="109">
      <x:c r="A109" t="str">
        <x:v>P1004</x:v>
      </x:c>
      <x:c r="B109" t="str">
        <x:v>P1004-T18</x:v>
      </x:c>
      <x:c r="C109" t="str">
        <x:v>Electrical</x:v>
      </x:c>
      <x:c r="D109" t="n">
        <x:v>1311</x:v>
      </x:c>
      <x:c r="E109" t="n">
        <x:v>1684</x:v>
      </x:c>
      <x:c r="F109" t="n">
        <x:v>373</x:v>
      </x:c>
    </x:row>
    <x:row r="110">
      <x:c r="A110" t="str">
        <x:v>P1004</x:v>
      </x:c>
      <x:c r="B110" t="str">
        <x:v>P1004-T19</x:v>
      </x:c>
      <x:c r="C110" t="str">
        <x:v>Electrical</x:v>
      </x:c>
      <x:c r="D110" t="n">
        <x:v>1597</x:v>
      </x:c>
      <x:c r="E110" t="n">
        <x:v>1770</x:v>
      </x:c>
      <x:c r="F110" t="n">
        <x:v>173</x:v>
      </x:c>
    </x:row>
    <x:row r="111">
      <x:c r="A111" t="str">
        <x:v>P1004</x:v>
      </x:c>
      <x:c r="B111" t="str">
        <x:v>P1004-T20</x:v>
      </x:c>
      <x:c r="C111" t="str">
        <x:v>Electrical</x:v>
      </x:c>
      <x:c r="D111" t="n">
        <x:v>2635</x:v>
      </x:c>
      <x:c r="E111" t="n">
        <x:v>2360</x:v>
      </x:c>
      <x:c r="F111" t="n">
        <x:v>-275</x:v>
      </x:c>
    </x:row>
    <x:row r="112">
      <x:c r="A112" t="str">
        <x:v>P1004</x:v>
      </x:c>
      <x:c r="B112" t="str">
        <x:v>P1004-T21</x:v>
      </x:c>
      <x:c r="C112" t="str">
        <x:v>Instrumentation</x:v>
      </x:c>
      <x:c r="D112" t="n">
        <x:v>1423</x:v>
      </x:c>
      <x:c r="E112" t="n">
        <x:v>1545</x:v>
      </x:c>
      <x:c r="F112" t="n">
        <x:v>122</x:v>
      </x:c>
    </x:row>
    <x:row r="113">
      <x:c r="A113" t="str">
        <x:v>P1004</x:v>
      </x:c>
      <x:c r="B113" t="str">
        <x:v>P1004-T22</x:v>
      </x:c>
      <x:c r="C113" t="str">
        <x:v>Instrumentation</x:v>
      </x:c>
      <x:c r="D113" t="n">
        <x:v>1982</x:v>
      </x:c>
      <x:c r="E113" t="n">
        <x:v>1951</x:v>
      </x:c>
      <x:c r="F113" t="n">
        <x:v>-31</x:v>
      </x:c>
    </x:row>
    <x:row r="114">
      <x:c r="A114" t="str">
        <x:v>P1004</x:v>
      </x:c>
      <x:c r="B114" t="str">
        <x:v>P1004-T23</x:v>
      </x:c>
      <x:c r="C114" t="str">
        <x:v>Instrumentation</x:v>
      </x:c>
      <x:c r="D114" t="n">
        <x:v>1891</x:v>
      </x:c>
      <x:c r="E114" t="n">
        <x:v>1664</x:v>
      </x:c>
      <x:c r="F114" t="n">
        <x:v>-227</x:v>
      </x:c>
    </x:row>
    <x:row r="115">
      <x:c r="A115" t="str">
        <x:v>P1004</x:v>
      </x:c>
      <x:c r="B115" t="str">
        <x:v>P1004-T24</x:v>
      </x:c>
      <x:c r="C115" t="str">
        <x:v>Instrumentation</x:v>
      </x:c>
      <x:c r="D115" t="n">
        <x:v>2243</x:v>
      </x:c>
      <x:c r="E115" t="n">
        <x:v>2516</x:v>
      </x:c>
      <x:c r="F115" t="n">
        <x:v>273</x:v>
      </x:c>
    </x:row>
    <x:row r="116">
      <x:c r="A116" t="str">
        <x:v>P1004</x:v>
      </x:c>
      <x:c r="B116" t="str">
        <x:v>P1004-T25</x:v>
      </x:c>
      <x:c r="C116" t="str">
        <x:v>Instrumentation</x:v>
      </x:c>
      <x:c r="D116" t="n">
        <x:v>1838</x:v>
      </x:c>
      <x:c r="E116" t="n">
        <x:v>1587</x:v>
      </x:c>
      <x:c r="F116" t="n">
        <x:v>-251</x:v>
      </x:c>
    </x:row>
    <x:row r="117">
      <x:c r="A117" t="str">
        <x:v>P1004</x:v>
      </x:c>
      <x:c r="B117" t="str">
        <x:v>P1004-T26</x:v>
      </x:c>
      <x:c r="C117" t="str">
        <x:v>Commissioning</x:v>
      </x:c>
      <x:c r="D117" t="n">
        <x:v>1435</x:v>
      </x:c>
      <x:c r="E117" t="n">
        <x:v>1741</x:v>
      </x:c>
      <x:c r="F117" t="n">
        <x:v>306</x:v>
      </x:c>
    </x:row>
    <x:row r="118">
      <x:c r="A118" t="str">
        <x:v>P1004</x:v>
      </x:c>
      <x:c r="B118" t="str">
        <x:v>P1004-T27</x:v>
      </x:c>
      <x:c r="C118" t="str">
        <x:v>Commissioning</x:v>
      </x:c>
      <x:c r="D118" t="n">
        <x:v>1450</x:v>
      </x:c>
      <x:c r="E118" t="n">
        <x:v>1616</x:v>
      </x:c>
      <x:c r="F118" t="n">
        <x:v>166</x:v>
      </x:c>
    </x:row>
    <x:row r="119">
      <x:c r="A119" t="str">
        <x:v>P1004</x:v>
      </x:c>
      <x:c r="B119" t="str">
        <x:v>P1004-T28</x:v>
      </x:c>
      <x:c r="C119" t="str">
        <x:v>Commissioning</x:v>
      </x:c>
      <x:c r="D119" t="n">
        <x:v>1930</x:v>
      </x:c>
      <x:c r="E119" t="n">
        <x:v>1731</x:v>
      </x:c>
      <x:c r="F119" t="n">
        <x:v>-199</x:v>
      </x:c>
    </x:row>
    <x:row r="120">
      <x:c r="A120" t="str">
        <x:v>P1004</x:v>
      </x:c>
      <x:c r="B120" t="str">
        <x:v>P1004-T29</x:v>
      </x:c>
      <x:c r="C120" t="str">
        <x:v>Commissioning</x:v>
      </x:c>
      <x:c r="D120" t="n">
        <x:v>1946</x:v>
      </x:c>
      <x:c r="E120" t="n">
        <x:v>2009</x:v>
      </x:c>
      <x:c r="F120" t="n">
        <x:v>63</x:v>
      </x:c>
    </x:row>
    <x:row r="121">
      <x:c r="A121" t="str">
        <x:v>P1004</x:v>
      </x:c>
      <x:c r="B121" t="str">
        <x:v>P1004-T30</x:v>
      </x:c>
      <x:c r="C121" t="str">
        <x:v>Commissioning</x:v>
      </x:c>
      <x:c r="D121" t="n">
        <x:v>2401</x:v>
      </x:c>
      <x:c r="E121" t="n">
        <x:v>2030</x:v>
      </x:c>
      <x:c r="F121" t="n">
        <x:v>-371</x:v>
      </x:c>
    </x:row>
  </x:sheetData>
  <x:pageMargins left="0.7" right="0.7" top="0.75" bottom="0.75" header="0.3" footer="0.3"/>
  <x:tableParts count="1">
    <x:tablePart xmlns:r="http://schemas.openxmlformats.org/officeDocument/2006/relationships" r:id="Rb23f0c5ffd9a4b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17.5" hidden="0" customWidth="1"/>
    <x:col min="3" max="3" width="17.5" hidden="0" customWidth="1"/>
    <x:col min="4" max="4" width="17.5" hidden="0" customWidth="1"/>
    <x:col min="5" max="5" width="17.5" hidden="0" customWidth="1"/>
    <x:col min="6" max="6" width="17.5" hidden="0" customWidth="1"/>
    <x:col min="7" max="7" width="17.5" hidden="0" customWidth="1"/>
    <x:col min="8" max="8" width="17.5" hidden="0" customWidth="1"/>
    <x:col min="9" max="9" width="17.5" hidden="0" customWidth="1"/>
    <x:col min="10" max="10" width="17.5" hidden="0" customWidth="1"/>
  </x:cols>
  <x:sheetData>
    <x:row r="1">
      <x:c r="A1" s="2" t="str">
        <x:v>po_id</x:v>
      </x:c>
      <x:c r="B1" s="2" t="str">
        <x:v>project_id</x:v>
      </x:c>
      <x:c r="C1" s="2" t="str">
        <x:v>task_id</x:v>
      </x:c>
      <x:c r="D1" s="2" t="str">
        <x:v>vendor</x:v>
      </x:c>
      <x:c r="E1" s="2" t="str">
        <x:v>discipline</x:v>
      </x:c>
      <x:c r="F1" s="3" t="str">
        <x:v>po_value</x:v>
      </x:c>
      <x:c r="G1" s="3" t="str">
        <x:v>committed_cost</x:v>
      </x:c>
      <x:c r="H1" s="4" t="str">
        <x:v>need_by_date</x:v>
      </x:c>
      <x:c r="I1" s="4" t="str">
        <x:v>expected_delivery_date</x:v>
      </x:c>
      <x:c r="J1" s="2" t="str">
        <x:v>delivery_status</x:v>
      </x:c>
    </x:row>
    <x:row r="2">
      <x:c r="A2" t="str">
        <x:v>P1001-PO001</x:v>
      </x:c>
      <x:c r="B2" t="str">
        <x:v>P1001</x:v>
      </x:c>
      <x:c r="C2" t="str">
        <x:v>P1001-T01</x:v>
      </x:c>
      <x:c r="D2" t="str">
        <x:v>Apex Mechanical</x:v>
      </x:c>
      <x:c r="E2" t="str">
        <x:v>Civil</x:v>
      </x:c>
      <x:c r="F2" t="n">
        <x:v>237846.27</x:v>
      </x:c>
      <x:c r="G2" t="n">
        <x:v>210424.37</x:v>
      </x:c>
      <x:c r="H2" t="str">
        <x:v>2025-01-17</x:v>
      </x:c>
      <x:c r="I2" t="str">
        <x:v>2025-02-02</x:v>
      </x:c>
      <x:c r="J2" t="str">
        <x:v>Late Risk</x:v>
      </x:c>
    </x:row>
    <x:row r="3">
      <x:c r="A3" t="str">
        <x:v>P1001-PO002</x:v>
      </x:c>
      <x:c r="B3" t="str">
        <x:v>P1001</x:v>
      </x:c>
      <x:c r="C3" t="str">
        <x:v>P1001-T02</x:v>
      </x:c>
      <x:c r="D3" t="str">
        <x:v>Sonoran Controls</x:v>
      </x:c>
      <x:c r="E3" t="str">
        <x:v>Civil</x:v>
      </x:c>
      <x:c r="F3" t="n">
        <x:v>158474.46</x:v>
      </x:c>
      <x:c r="G3" t="n">
        <x:v>140993.22</x:v>
      </x:c>
      <x:c r="H3" t="str">
        <x:v>2025-02-20</x:v>
      </x:c>
      <x:c r="I3" t="str">
        <x:v>2025-02-25</x:v>
      </x:c>
      <x:c r="J3" t="str">
        <x:v>Late Risk</x:v>
      </x:c>
    </x:row>
    <x:row r="4">
      <x:c r="A4" t="str">
        <x:v>P1001-PO003</x:v>
      </x:c>
      <x:c r="B4" t="str">
        <x:v>P1001</x:v>
      </x:c>
      <x:c r="C4" t="str">
        <x:v>P1001-T03</x:v>
      </x:c>
      <x:c r="D4" t="str">
        <x:v>Mesa Steel</x:v>
      </x:c>
      <x:c r="E4" t="str">
        <x:v>Civil</x:v>
      </x:c>
      <x:c r="F4" t="n">
        <x:v>266771.07</x:v>
      </x:c>
      <x:c r="G4" t="n">
        <x:v>288762.43</x:v>
      </x:c>
      <x:c r="H4" t="str">
        <x:v>2025-03-12</x:v>
      </x:c>
      <x:c r="I4" t="str">
        <x:v>2025-03-17</x:v>
      </x:c>
      <x:c r="J4" t="str">
        <x:v>Late Risk</x:v>
      </x:c>
    </x:row>
    <x:row r="5">
      <x:c r="A5" t="str">
        <x:v>P1001-PO006</x:v>
      </x:c>
      <x:c r="B5" t="str">
        <x:v>P1001</x:v>
      </x:c>
      <x:c r="C5" t="str">
        <x:v>P1001-T06</x:v>
      </x:c>
      <x:c r="D5" t="str">
        <x:v>Mesa Steel</x:v>
      </x:c>
      <x:c r="E5" t="str">
        <x:v>Structural</x:v>
      </x:c>
      <x:c r="F5" t="n">
        <x:v>125740.1</x:v>
      </x:c>
      <x:c r="G5" t="n">
        <x:v>99400.12</x:v>
      </x:c>
      <x:c r="H5" t="str">
        <x:v>2025-01-25</x:v>
      </x:c>
      <x:c r="I5" t="str">
        <x:v>2025-02-08</x:v>
      </x:c>
      <x:c r="J5" t="str">
        <x:v>Late Risk</x:v>
      </x:c>
    </x:row>
    <x:row r="6">
      <x:c r="A6" t="str">
        <x:v>P1001-PO007</x:v>
      </x:c>
      <x:c r="B6" t="str">
        <x:v>P1001</x:v>
      </x:c>
      <x:c r="C6" t="str">
        <x:v>P1001-T07</x:v>
      </x:c>
      <x:c r="D6" t="str">
        <x:v>Copperline Electric</x:v>
      </x:c>
      <x:c r="E6" t="str">
        <x:v>Structural</x:v>
      </x:c>
      <x:c r="F6" t="n">
        <x:v>128325.04</x:v>
      </x:c>
      <x:c r="G6" t="n">
        <x:v>109381.1</x:v>
      </x:c>
      <x:c r="H6" t="str">
        <x:v>2025-02-19</x:v>
      </x:c>
      <x:c r="I6" t="str">
        <x:v>2025-02-26</x:v>
      </x:c>
      <x:c r="J6" t="str">
        <x:v>Late Risk</x:v>
      </x:c>
    </x:row>
    <x:row r="7">
      <x:c r="A7" t="str">
        <x:v>P1001-PO008</x:v>
      </x:c>
      <x:c r="B7" t="str">
        <x:v>P1001</x:v>
      </x:c>
      <x:c r="C7" t="str">
        <x:v>P1001-T08</x:v>
      </x:c>
      <x:c r="D7" t="str">
        <x:v>Mesa Steel</x:v>
      </x:c>
      <x:c r="E7" t="str">
        <x:v>Structural</x:v>
      </x:c>
      <x:c r="F7" t="n">
        <x:v>127380.09</x:v>
      </x:c>
      <x:c r="G7" t="n">
        <x:v>112269.33</x:v>
      </x:c>
      <x:c r="H7" t="str">
        <x:v>2025-03-21</x:v>
      </x:c>
      <x:c r="I7" t="str">
        <x:v>2025-03-25</x:v>
      </x:c>
      <x:c r="J7" t="str">
        <x:v>Late Risk</x:v>
      </x:c>
    </x:row>
    <x:row r="8">
      <x:c r="A8" t="str">
        <x:v>P1001-PO011</x:v>
      </x:c>
      <x:c r="B8" t="str">
        <x:v>P1001</x:v>
      </x:c>
      <x:c r="C8" t="str">
        <x:v>P1001-T11</x:v>
      </x:c>
      <x:c r="D8" t="str">
        <x:v>Valley Civil</x:v>
      </x:c>
      <x:c r="E8" t="str">
        <x:v>Mechanical</x:v>
      </x:c>
      <x:c r="F8" t="n">
        <x:v>162071.06</x:v>
      </x:c>
      <x:c r="G8" t="n">
        <x:v>125727.07</x:v>
      </x:c>
      <x:c r="H8" t="str">
        <x:v>2025-01-16</x:v>
      </x:c>
      <x:c r="I8" t="str">
        <x:v>2025-01-29</x:v>
      </x:c>
      <x:c r="J8" t="str">
        <x:v>Late Risk</x:v>
      </x:c>
    </x:row>
    <x:row r="9">
      <x:c r="A9" t="str">
        <x:v>P1001-PO012</x:v>
      </x:c>
      <x:c r="B9" t="str">
        <x:v>P1001</x:v>
      </x:c>
      <x:c r="C9" t="str">
        <x:v>P1001-T12</x:v>
      </x:c>
      <x:c r="D9" t="str">
        <x:v>Copperline Electric</x:v>
      </x:c>
      <x:c r="E9" t="str">
        <x:v>Mechanical</x:v>
      </x:c>
      <x:c r="F9" t="n">
        <x:v>123918.86</x:v>
      </x:c>
      <x:c r="G9" t="n">
        <x:v>132640.91</x:v>
      </x:c>
      <x:c r="H9" t="str">
        <x:v>2025-02-13</x:v>
      </x:c>
      <x:c r="I9" t="str">
        <x:v>2025-02-19</x:v>
      </x:c>
      <x:c r="J9" t="str">
        <x:v>Late Risk</x:v>
      </x:c>
    </x:row>
    <x:row r="10">
      <x:c r="A10" t="str">
        <x:v>P1001-PO013</x:v>
      </x:c>
      <x:c r="B10" t="str">
        <x:v>P1001</x:v>
      </x:c>
      <x:c r="C10" t="str">
        <x:v>P1001-T13</x:v>
      </x:c>
      <x:c r="D10" t="str">
        <x:v>Mesa Steel</x:v>
      </x:c>
      <x:c r="E10" t="str">
        <x:v>Mechanical</x:v>
      </x:c>
      <x:c r="F10" t="n">
        <x:v>176572.39</x:v>
      </x:c>
      <x:c r="G10" t="n">
        <x:v>167529.73</x:v>
      </x:c>
      <x:c r="H10" t="str">
        <x:v>2025-03-18</x:v>
      </x:c>
      <x:c r="I10" t="str">
        <x:v>2025-03-22</x:v>
      </x:c>
      <x:c r="J10" t="str">
        <x:v>Late Risk</x:v>
      </x:c>
    </x:row>
    <x:row r="11">
      <x:c r="A11" t="str">
        <x:v>P1001-PO016</x:v>
      </x:c>
      <x:c r="B11" t="str">
        <x:v>P1001</x:v>
      </x:c>
      <x:c r="C11" t="str">
        <x:v>P1001-T16</x:v>
      </x:c>
      <x:c r="D11" t="str">
        <x:v>Copperline Electric</x:v>
      </x:c>
      <x:c r="E11" t="str">
        <x:v>Electrical</x:v>
      </x:c>
      <x:c r="F11" t="n">
        <x:v>154473.6</x:v>
      </x:c>
      <x:c r="G11" t="n">
        <x:v>123717.16</x:v>
      </x:c>
      <x:c r="H11" t="str">
        <x:v>2025-01-18</x:v>
      </x:c>
      <x:c r="I11" t="str">
        <x:v>2025-01-30</x:v>
      </x:c>
      <x:c r="J11" t="str">
        <x:v>Late Risk</x:v>
      </x:c>
    </x:row>
    <x:row r="12">
      <x:c r="A12" t="str">
        <x:v>P1001-PO017</x:v>
      </x:c>
      <x:c r="B12" t="str">
        <x:v>P1001</x:v>
      </x:c>
      <x:c r="C12" t="str">
        <x:v>P1001-T17</x:v>
      </x:c>
      <x:c r="D12" t="str">
        <x:v>Apex Mechanical</x:v>
      </x:c>
      <x:c r="E12" t="str">
        <x:v>Electrical</x:v>
      </x:c>
      <x:c r="F12" t="n">
        <x:v>137032.76</x:v>
      </x:c>
      <x:c r="G12" t="n">
        <x:v>149737.72</x:v>
      </x:c>
      <x:c r="H12" t="str">
        <x:v>2025-02-13</x:v>
      </x:c>
      <x:c r="I12" t="str">
        <x:v>2025-02-16</x:v>
      </x:c>
      <x:c r="J12" t="str">
        <x:v>Late Risk</x:v>
      </x:c>
    </x:row>
    <x:row r="13">
      <x:c r="A13" t="str">
        <x:v>P1001-PO018</x:v>
      </x:c>
      <x:c r="B13" t="str">
        <x:v>P1001</x:v>
      </x:c>
      <x:c r="C13" t="str">
        <x:v>P1001-T18</x:v>
      </x:c>
      <x:c r="D13" t="str">
        <x:v>Desert Safety Supply</x:v>
      </x:c>
      <x:c r="E13" t="str">
        <x:v>Electrical</x:v>
      </x:c>
      <x:c r="F13" t="n">
        <x:v>204030.46</x:v>
      </x:c>
      <x:c r="G13" t="n">
        <x:v>221238.42</x:v>
      </x:c>
      <x:c r="H13" t="str">
        <x:v>2025-03-18</x:v>
      </x:c>
      <x:c r="I13" t="str">
        <x:v>2025-03-23</x:v>
      </x:c>
      <x:c r="J13" t="str">
        <x:v>Late Risk</x:v>
      </x:c>
    </x:row>
    <x:row r="14">
      <x:c r="A14" t="str">
        <x:v>P1001-PO021</x:v>
      </x:c>
      <x:c r="B14" t="str">
        <x:v>P1001</x:v>
      </x:c>
      <x:c r="C14" t="str">
        <x:v>P1001-T21</x:v>
      </x:c>
      <x:c r="D14" t="str">
        <x:v>Mesa Steel</x:v>
      </x:c>
      <x:c r="E14" t="str">
        <x:v>Instrumentation</x:v>
      </x:c>
      <x:c r="F14" t="n">
        <x:v>135163.01</x:v>
      </x:c>
      <x:c r="G14" t="n">
        <x:v>146577.56</x:v>
      </x:c>
      <x:c r="H14" t="str">
        <x:v>2025-01-25</x:v>
      </x:c>
      <x:c r="I14" t="str">
        <x:v>2025-01-22</x:v>
      </x:c>
      <x:c r="J14" t="str">
        <x:v>On Track</x:v>
      </x:c>
    </x:row>
    <x:row r="15">
      <x:c r="A15" t="str">
        <x:v>P1001-PO022</x:v>
      </x:c>
      <x:c r="B15" t="str">
        <x:v>P1001</x:v>
      </x:c>
      <x:c r="C15" t="str">
        <x:v>P1001-T22</x:v>
      </x:c>
      <x:c r="D15" t="str">
        <x:v>Apex Mechanical</x:v>
      </x:c>
      <x:c r="E15" t="str">
        <x:v>Instrumentation</x:v>
      </x:c>
      <x:c r="F15" t="n">
        <x:v>248245.34</x:v>
      </x:c>
      <x:c r="G15" t="n">
        <x:v>262872.49</x:v>
      </x:c>
      <x:c r="H15" t="str">
        <x:v>2025-02-14</x:v>
      </x:c>
      <x:c r="I15" t="str">
        <x:v>2025-02-26</x:v>
      </x:c>
      <x:c r="J15" t="str">
        <x:v>Late Risk</x:v>
      </x:c>
    </x:row>
    <x:row r="16">
      <x:c r="A16" t="str">
        <x:v>P1001-PO023</x:v>
      </x:c>
      <x:c r="B16" t="str">
        <x:v>P1001</x:v>
      </x:c>
      <x:c r="C16" t="str">
        <x:v>P1001-T23</x:v>
      </x:c>
      <x:c r="D16" t="str">
        <x:v>Valley Civil</x:v>
      </x:c>
      <x:c r="E16" t="str">
        <x:v>Instrumentation</x:v>
      </x:c>
      <x:c r="F16" t="n">
        <x:v>235659.8</x:v>
      </x:c>
      <x:c r="G16" t="n">
        <x:v>235430.8</x:v>
      </x:c>
      <x:c r="H16" t="str">
        <x:v>2025-03-19</x:v>
      </x:c>
      <x:c r="I16" t="str">
        <x:v>2025-03-21</x:v>
      </x:c>
      <x:c r="J16" t="str">
        <x:v>Late Risk</x:v>
      </x:c>
    </x:row>
    <x:row r="17">
      <x:c r="A17" t="str">
        <x:v>P1001-PO026</x:v>
      </x:c>
      <x:c r="B17" t="str">
        <x:v>P1001</x:v>
      </x:c>
      <x:c r="C17" t="str">
        <x:v>P1001-T26</x:v>
      </x:c>
      <x:c r="D17" t="str">
        <x:v>Mesa Steel</x:v>
      </x:c>
      <x:c r="E17" t="str">
        <x:v>Commissioning</x:v>
      </x:c>
      <x:c r="F17" t="n">
        <x:v>251657.57</x:v>
      </x:c>
      <x:c r="G17" t="n">
        <x:v>200422.02</x:v>
      </x:c>
      <x:c r="H17" t="str">
        <x:v>2025-01-25</x:v>
      </x:c>
      <x:c r="I17" t="str">
        <x:v>2025-01-25</x:v>
      </x:c>
      <x:c r="J17" t="str">
        <x:v>On Track</x:v>
      </x:c>
    </x:row>
    <x:row r="18">
      <x:c r="A18" t="str">
        <x:v>P1001-PO027</x:v>
      </x:c>
      <x:c r="B18" t="str">
        <x:v>P1001</x:v>
      </x:c>
      <x:c r="C18" t="str">
        <x:v>P1001-T27</x:v>
      </x:c>
      <x:c r="D18" t="str">
        <x:v>Desert Safety Supply</x:v>
      </x:c>
      <x:c r="E18" t="str">
        <x:v>Commissioning</x:v>
      </x:c>
      <x:c r="F18" t="n">
        <x:v>154153.99</x:v>
      </x:c>
      <x:c r="G18" t="n">
        <x:v>142969.18</x:v>
      </x:c>
      <x:c r="H18" t="str">
        <x:v>2025-02-19</x:v>
      </x:c>
      <x:c r="I18" t="str">
        <x:v>2025-02-23</x:v>
      </x:c>
      <x:c r="J18" t="str">
        <x:v>Late Risk</x:v>
      </x:c>
    </x:row>
    <x:row r="19">
      <x:c r="A19" t="str">
        <x:v>P1001-PO028</x:v>
      </x:c>
      <x:c r="B19" t="str">
        <x:v>P1001</x:v>
      </x:c>
      <x:c r="C19" t="str">
        <x:v>P1001-T28</x:v>
      </x:c>
      <x:c r="D19" t="str">
        <x:v>Copperline Electric</x:v>
      </x:c>
      <x:c r="E19" t="str">
        <x:v>Commissioning</x:v>
      </x:c>
      <x:c r="F19" t="n">
        <x:v>275896.2</x:v>
      </x:c>
      <x:c r="G19" t="n">
        <x:v>279700.27</x:v>
      </x:c>
      <x:c r="H19" t="str">
        <x:v>2025-03-11</x:v>
      </x:c>
      <x:c r="I19" t="str">
        <x:v>2025-03-20</x:v>
      </x:c>
      <x:c r="J19" t="str">
        <x:v>Late Risk</x:v>
      </x:c>
    </x:row>
    <x:row r="20">
      <x:c r="A20" t="str">
        <x:v>P1002-PO001</x:v>
      </x:c>
      <x:c r="B20" t="str">
        <x:v>P1002</x:v>
      </x:c>
      <x:c r="C20" t="str">
        <x:v>P1002-T01</x:v>
      </x:c>
      <x:c r="D20" t="str">
        <x:v>Sonoran Controls</x:v>
      </x:c>
      <x:c r="E20" t="str">
        <x:v>Civil</x:v>
      </x:c>
      <x:c r="F20" t="n">
        <x:v>421751.38</x:v>
      </x:c>
      <x:c r="G20" t="n">
        <x:v>369689.94</x:v>
      </x:c>
      <x:c r="H20" t="str">
        <x:v>2025-02-13</x:v>
      </x:c>
      <x:c r="I20" t="str">
        <x:v>2025-02-19</x:v>
      </x:c>
      <x:c r="J20" t="str">
        <x:v>Late Risk</x:v>
      </x:c>
    </x:row>
    <x:row r="21">
      <x:c r="A21" t="str">
        <x:v>P1002-PO002</x:v>
      </x:c>
      <x:c r="B21" t="str">
        <x:v>P1002</x:v>
      </x:c>
      <x:c r="C21" t="str">
        <x:v>P1002-T02</x:v>
      </x:c>
      <x:c r="D21" t="str">
        <x:v>Desert Safety Supply</x:v>
      </x:c>
      <x:c r="E21" t="str">
        <x:v>Civil</x:v>
      </x:c>
      <x:c r="F21" t="n">
        <x:v>171271.76</x:v>
      </x:c>
      <x:c r="G21" t="n">
        <x:v>143624.51</x:v>
      </x:c>
      <x:c r="H21" t="str">
        <x:v>2025-03-17</x:v>
      </x:c>
      <x:c r="I21" t="str">
        <x:v>2025-03-14</x:v>
      </x:c>
      <x:c r="J21" t="str">
        <x:v>On Track</x:v>
      </x:c>
    </x:row>
    <x:row r="22">
      <x:c r="A22" t="str">
        <x:v>P1002-PO003</x:v>
      </x:c>
      <x:c r="B22" t="str">
        <x:v>P1002</x:v>
      </x:c>
      <x:c r="C22" t="str">
        <x:v>P1002-T03</x:v>
      </x:c>
      <x:c r="D22" t="str">
        <x:v>Apex Mechanical</x:v>
      </x:c>
      <x:c r="E22" t="str">
        <x:v>Civil</x:v>
      </x:c>
      <x:c r="F22" t="n">
        <x:v>384628.42</x:v>
      </x:c>
      <x:c r="G22" t="n">
        <x:v>339343.77</x:v>
      </x:c>
      <x:c r="H22" t="str">
        <x:v>2025-04-10</x:v>
      </x:c>
      <x:c r="I22" t="str">
        <x:v>2025-04-26</x:v>
      </x:c>
      <x:c r="J22" t="str">
        <x:v>Late Risk</x:v>
      </x:c>
    </x:row>
    <x:row r="23">
      <x:c r="A23" t="str">
        <x:v>P1002-PO006</x:v>
      </x:c>
      <x:c r="B23" t="str">
        <x:v>P1002</x:v>
      </x:c>
      <x:c r="C23" t="str">
        <x:v>P1002-T06</x:v>
      </x:c>
      <x:c r="D23" t="str">
        <x:v>Apex Mechanical</x:v>
      </x:c>
      <x:c r="E23" t="str">
        <x:v>Structural</x:v>
      </x:c>
      <x:c r="F23" t="n">
        <x:v>149792.97</x:v>
      </x:c>
      <x:c r="G23" t="n">
        <x:v>146259.4</x:v>
      </x:c>
      <x:c r="H23" t="str">
        <x:v>2025-02-19</x:v>
      </x:c>
      <x:c r="I23" t="str">
        <x:v>2025-02-20</x:v>
      </x:c>
      <x:c r="J23" t="str">
        <x:v>Late Risk</x:v>
      </x:c>
    </x:row>
    <x:row r="24">
      <x:c r="A24" t="str">
        <x:v>P1002-PO007</x:v>
      </x:c>
      <x:c r="B24" t="str">
        <x:v>P1002</x:v>
      </x:c>
      <x:c r="C24" t="str">
        <x:v>P1002-T07</x:v>
      </x:c>
      <x:c r="D24" t="str">
        <x:v>Desert Safety Supply</x:v>
      </x:c>
      <x:c r="E24" t="str">
        <x:v>Structural</x:v>
      </x:c>
      <x:c r="F24" t="n">
        <x:v>188393.02</x:v>
      </x:c>
      <x:c r="G24" t="n">
        <x:v>145489.39</x:v>
      </x:c>
      <x:c r="H24" t="str">
        <x:v>2025-03-12</x:v>
      </x:c>
      <x:c r="I24" t="str">
        <x:v>2025-03-12</x:v>
      </x:c>
      <x:c r="J24" t="str">
        <x:v>On Track</x:v>
      </x:c>
    </x:row>
    <x:row r="25">
      <x:c r="A25" t="str">
        <x:v>P1002-PO008</x:v>
      </x:c>
      <x:c r="B25" t="str">
        <x:v>P1002</x:v>
      </x:c>
      <x:c r="C25" t="str">
        <x:v>P1002-T08</x:v>
      </x:c>
      <x:c r="D25" t="str">
        <x:v>Copperline Electric</x:v>
      </x:c>
      <x:c r="E25" t="str">
        <x:v>Structural</x:v>
      </x:c>
      <x:c r="F25" t="n">
        <x:v>353870.07</x:v>
      </x:c>
      <x:c r="G25" t="n">
        <x:v>378503.75</x:v>
      </x:c>
      <x:c r="H25" t="str">
        <x:v>2025-04-15</x:v>
      </x:c>
      <x:c r="I25" t="str">
        <x:v>2025-04-21</x:v>
      </x:c>
      <x:c r="J25" t="str">
        <x:v>Late Risk</x:v>
      </x:c>
    </x:row>
    <x:row r="26">
      <x:c r="A26" t="str">
        <x:v>P1002-PO011</x:v>
      </x:c>
      <x:c r="B26" t="str">
        <x:v>P1002</x:v>
      </x:c>
      <x:c r="C26" t="str">
        <x:v>P1002-T11</x:v>
      </x:c>
      <x:c r="D26" t="str">
        <x:v>Desert Safety Supply</x:v>
      </x:c>
      <x:c r="E26" t="str">
        <x:v>Mechanical</x:v>
      </x:c>
      <x:c r="F26" t="n">
        <x:v>249516.47</x:v>
      </x:c>
      <x:c r="G26" t="n">
        <x:v>235679.7</x:v>
      </x:c>
      <x:c r="H26" t="str">
        <x:v>2025-02-18</x:v>
      </x:c>
      <x:c r="I26" t="str">
        <x:v>2025-02-27</x:v>
      </x:c>
      <x:c r="J26" t="str">
        <x:v>Late Risk</x:v>
      </x:c>
    </x:row>
    <x:row r="27">
      <x:c r="A27" t="str">
        <x:v>P1002-PO012</x:v>
      </x:c>
      <x:c r="B27" t="str">
        <x:v>P1002</x:v>
      </x:c>
      <x:c r="C27" t="str">
        <x:v>P1002-T12</x:v>
      </x:c>
      <x:c r="D27" t="str">
        <x:v>Mesa Steel</x:v>
      </x:c>
      <x:c r="E27" t="str">
        <x:v>Mechanical</x:v>
      </x:c>
      <x:c r="F27" t="n">
        <x:v>273205.05</x:v>
      </x:c>
      <x:c r="G27" t="n">
        <x:v>207895.28</x:v>
      </x:c>
      <x:c r="H27" t="str">
        <x:v>2025-03-16</x:v>
      </x:c>
      <x:c r="I27" t="str">
        <x:v>2025-03-20</x:v>
      </x:c>
      <x:c r="J27" t="str">
        <x:v>Late Risk</x:v>
      </x:c>
    </x:row>
    <x:row r="28">
      <x:c r="A28" t="str">
        <x:v>P1002-PO013</x:v>
      </x:c>
      <x:c r="B28" t="str">
        <x:v>P1002</x:v>
      </x:c>
      <x:c r="C28" t="str">
        <x:v>P1002-T13</x:v>
      </x:c>
      <x:c r="D28" t="str">
        <x:v>Desert Safety Supply</x:v>
      </x:c>
      <x:c r="E28" t="str">
        <x:v>Mechanical</x:v>
      </x:c>
      <x:c r="F28" t="n">
        <x:v>133347.88</x:v>
      </x:c>
      <x:c r="G28" t="n">
        <x:v>108895</x:v>
      </x:c>
      <x:c r="H28" t="str">
        <x:v>2025-04-12</x:v>
      </x:c>
      <x:c r="I28" t="str">
        <x:v>2025-04-10</x:v>
      </x:c>
      <x:c r="J28" t="str">
        <x:v>On Track</x:v>
      </x:c>
    </x:row>
    <x:row r="29">
      <x:c r="A29" t="str">
        <x:v>P1002-PO016</x:v>
      </x:c>
      <x:c r="B29" t="str">
        <x:v>P1002</x:v>
      </x:c>
      <x:c r="C29" t="str">
        <x:v>P1002-T16</x:v>
      </x:c>
      <x:c r="D29" t="str">
        <x:v>Copperline Electric</x:v>
      </x:c>
      <x:c r="E29" t="str">
        <x:v>Electrical</x:v>
      </x:c>
      <x:c r="F29" t="n">
        <x:v>177729.02</x:v>
      </x:c>
      <x:c r="G29" t="n">
        <x:v>134184.7</x:v>
      </x:c>
      <x:c r="H29" t="str">
        <x:v>2025-02-12</x:v>
      </x:c>
      <x:c r="I29" t="str">
        <x:v>2025-02-11</x:v>
      </x:c>
      <x:c r="J29" t="str">
        <x:v>On Track</x:v>
      </x:c>
    </x:row>
    <x:row r="30">
      <x:c r="A30" t="str">
        <x:v>P1002-PO017</x:v>
      </x:c>
      <x:c r="B30" t="str">
        <x:v>P1002</x:v>
      </x:c>
      <x:c r="C30" t="str">
        <x:v>P1002-T17</x:v>
      </x:c>
      <x:c r="D30" t="str">
        <x:v>Mesa Steel</x:v>
      </x:c>
      <x:c r="E30" t="str">
        <x:v>Electrical</x:v>
      </x:c>
      <x:c r="F30" t="n">
        <x:v>129692.87</x:v>
      </x:c>
      <x:c r="G30" t="n">
        <x:v>130763.22</x:v>
      </x:c>
      <x:c r="H30" t="str">
        <x:v>2025-03-22</x:v>
      </x:c>
      <x:c r="I30" t="str">
        <x:v>2025-03-20</x:v>
      </x:c>
      <x:c r="J30" t="str">
        <x:v>On Track</x:v>
      </x:c>
    </x:row>
    <x:row r="31">
      <x:c r="A31" t="str">
        <x:v>P1002-PO018</x:v>
      </x:c>
      <x:c r="B31" t="str">
        <x:v>P1002</x:v>
      </x:c>
      <x:c r="C31" t="str">
        <x:v>P1002-T18</x:v>
      </x:c>
      <x:c r="D31" t="str">
        <x:v>Sonoran Controls</x:v>
      </x:c>
      <x:c r="E31" t="str">
        <x:v>Electrical</x:v>
      </x:c>
      <x:c r="F31" t="n">
        <x:v>201772.01</x:v>
      </x:c>
      <x:c r="G31" t="n">
        <x:v>186077.57</x:v>
      </x:c>
      <x:c r="H31" t="str">
        <x:v>2025-04-15</x:v>
      </x:c>
      <x:c r="I31" t="str">
        <x:v>2025-04-16</x:v>
      </x:c>
      <x:c r="J31" t="str">
        <x:v>Late Risk</x:v>
      </x:c>
    </x:row>
    <x:row r="32">
      <x:c r="A32" t="str">
        <x:v>P1002-PO021</x:v>
      </x:c>
      <x:c r="B32" t="str">
        <x:v>P1002</x:v>
      </x:c>
      <x:c r="C32" t="str">
        <x:v>P1002-T21</x:v>
      </x:c>
      <x:c r="D32" t="str">
        <x:v>Mesa Steel</x:v>
      </x:c>
      <x:c r="E32" t="str">
        <x:v>Instrumentation</x:v>
      </x:c>
      <x:c r="F32" t="n">
        <x:v>256393.13</x:v>
      </x:c>
      <x:c r="G32" t="n">
        <x:v>248549.29</x:v>
      </x:c>
      <x:c r="H32" t="str">
        <x:v>2025-02-16</x:v>
      </x:c>
      <x:c r="I32" t="str">
        <x:v>2025-02-28</x:v>
      </x:c>
      <x:c r="J32" t="str">
        <x:v>Late Risk</x:v>
      </x:c>
    </x:row>
    <x:row r="33">
      <x:c r="A33" t="str">
        <x:v>P1002-PO022</x:v>
      </x:c>
      <x:c r="B33" t="str">
        <x:v>P1002</x:v>
      </x:c>
      <x:c r="C33" t="str">
        <x:v>P1002-T22</x:v>
      </x:c>
      <x:c r="D33" t="str">
        <x:v>Copperline Electric</x:v>
      </x:c>
      <x:c r="E33" t="str">
        <x:v>Instrumentation</x:v>
      </x:c>
      <x:c r="F33" t="n">
        <x:v>175185.96</x:v>
      </x:c>
      <x:c r="G33" t="n">
        <x:v>161838.71</x:v>
      </x:c>
      <x:c r="H33" t="str">
        <x:v>2025-03-14</x:v>
      </x:c>
      <x:c r="I33" t="str">
        <x:v>2025-03-28</x:v>
      </x:c>
      <x:c r="J33" t="str">
        <x:v>Late Risk</x:v>
      </x:c>
    </x:row>
    <x:row r="34">
      <x:c r="A34" t="str">
        <x:v>P1002-PO023</x:v>
      </x:c>
      <x:c r="B34" t="str">
        <x:v>P1002</x:v>
      </x:c>
      <x:c r="C34" t="str">
        <x:v>P1002-T23</x:v>
      </x:c>
      <x:c r="D34" t="str">
        <x:v>Sonoran Controls</x:v>
      </x:c>
      <x:c r="E34" t="str">
        <x:v>Instrumentation</x:v>
      </x:c>
      <x:c r="F34" t="n">
        <x:v>211995.83</x:v>
      </x:c>
      <x:c r="G34" t="n">
        <x:v>196003.7</x:v>
      </x:c>
      <x:c r="H34" t="str">
        <x:v>2025-04-13</x:v>
      </x:c>
      <x:c r="I34" t="str">
        <x:v>2025-04-26</x:v>
      </x:c>
      <x:c r="J34" t="str">
        <x:v>Late Risk</x:v>
      </x:c>
    </x:row>
    <x:row r="35">
      <x:c r="A35" t="str">
        <x:v>P1002-PO026</x:v>
      </x:c>
      <x:c r="B35" t="str">
        <x:v>P1002</x:v>
      </x:c>
      <x:c r="C35" t="str">
        <x:v>P1002-T26</x:v>
      </x:c>
      <x:c r="D35" t="str">
        <x:v>Mesa Steel</x:v>
      </x:c>
      <x:c r="E35" t="str">
        <x:v>Commissioning</x:v>
      </x:c>
      <x:c r="F35" t="n">
        <x:v>133350.09</x:v>
      </x:c>
      <x:c r="G35" t="n">
        <x:v>144336.76</x:v>
      </x:c>
      <x:c r="H35" t="str">
        <x:v>2025-02-12</x:v>
      </x:c>
      <x:c r="I35" t="str">
        <x:v>2025-02-16</x:v>
      </x:c>
      <x:c r="J35" t="str">
        <x:v>Late Risk</x:v>
      </x:c>
    </x:row>
    <x:row r="36">
      <x:c r="A36" t="str">
        <x:v>P1002-PO027</x:v>
      </x:c>
      <x:c r="B36" t="str">
        <x:v>P1002</x:v>
      </x:c>
      <x:c r="C36" t="str">
        <x:v>P1002-T27</x:v>
      </x:c>
      <x:c r="D36" t="str">
        <x:v>Copperline Electric</x:v>
      </x:c>
      <x:c r="E36" t="str">
        <x:v>Commissioning</x:v>
      </x:c>
      <x:c r="F36" t="n">
        <x:v>434775.34</x:v>
      </x:c>
      <x:c r="G36" t="n">
        <x:v>426814.31</x:v>
      </x:c>
      <x:c r="H36" t="str">
        <x:v>2025-03-11</x:v>
      </x:c>
      <x:c r="I36" t="str">
        <x:v>2025-03-27</x:v>
      </x:c>
      <x:c r="J36" t="str">
        <x:v>Late Risk</x:v>
      </x:c>
    </x:row>
    <x:row r="37">
      <x:c r="A37" t="str">
        <x:v>P1002-PO028</x:v>
      </x:c>
      <x:c r="B37" t="str">
        <x:v>P1002</x:v>
      </x:c>
      <x:c r="C37" t="str">
        <x:v>P1002-T28</x:v>
      </x:c>
      <x:c r="D37" t="str">
        <x:v>Desert Safety Supply</x:v>
      </x:c>
      <x:c r="E37" t="str">
        <x:v>Commissioning</x:v>
      </x:c>
      <x:c r="F37" t="n">
        <x:v>279008.84</x:v>
      </x:c>
      <x:c r="G37" t="n">
        <x:v>300059.82</x:v>
      </x:c>
      <x:c r="H37" t="str">
        <x:v>2025-04-11</x:v>
      </x:c>
      <x:c r="I37" t="str">
        <x:v>2025-04-21</x:v>
      </x:c>
      <x:c r="J37" t="str">
        <x:v>Late Risk</x:v>
      </x:c>
    </x:row>
    <x:row r="38">
      <x:c r="A38" t="str">
        <x:v>P1003-PO001</x:v>
      </x:c>
      <x:c r="B38" t="str">
        <x:v>P1003</x:v>
      </x:c>
      <x:c r="C38" t="str">
        <x:v>P1003-T01</x:v>
      </x:c>
      <x:c r="D38" t="str">
        <x:v>Sonoran Controls</x:v>
      </x:c>
      <x:c r="E38" t="str">
        <x:v>Civil</x:v>
      </x:c>
      <x:c r="F38" t="n">
        <x:v>96728.86</x:v>
      </x:c>
      <x:c r="G38" t="n">
        <x:v>94193.97</x:v>
      </x:c>
      <x:c r="H38" t="str">
        <x:v>2025-02-02</x:v>
      </x:c>
      <x:c r="I38" t="str">
        <x:v>2025-02-13</x:v>
      </x:c>
      <x:c r="J38" t="str">
        <x:v>Late Risk</x:v>
      </x:c>
    </x:row>
    <x:row r="39">
      <x:c r="A39" t="str">
        <x:v>P1003-PO002</x:v>
      </x:c>
      <x:c r="B39" t="str">
        <x:v>P1003</x:v>
      </x:c>
      <x:c r="C39" t="str">
        <x:v>P1003-T02</x:v>
      </x:c>
      <x:c r="D39" t="str">
        <x:v>Mesa Steel</x:v>
      </x:c>
      <x:c r="E39" t="str">
        <x:v>Civil</x:v>
      </x:c>
      <x:c r="F39" t="n">
        <x:v>52738.52</x:v>
      </x:c>
      <x:c r="G39" t="n">
        <x:v>52513.57</x:v>
      </x:c>
      <x:c r="H39" t="str">
        <x:v>2025-03-08</x:v>
      </x:c>
      <x:c r="I39" t="str">
        <x:v>2025-03-18</x:v>
      </x:c>
      <x:c r="J39" t="str">
        <x:v>Late Risk</x:v>
      </x:c>
    </x:row>
    <x:row r="40">
      <x:c r="A40" t="str">
        <x:v>P1003-PO003</x:v>
      </x:c>
      <x:c r="B40" t="str">
        <x:v>P1003</x:v>
      </x:c>
      <x:c r="C40" t="str">
        <x:v>P1003-T03</x:v>
      </x:c>
      <x:c r="D40" t="str">
        <x:v>Apex Mechanical</x:v>
      </x:c>
      <x:c r="E40" t="str">
        <x:v>Civil</x:v>
      </x:c>
      <x:c r="F40" t="n">
        <x:v>108354.03</x:v>
      </x:c>
      <x:c r="G40" t="n">
        <x:v>114703.66</x:v>
      </x:c>
      <x:c r="H40" t="str">
        <x:v>2025-03-31</x:v>
      </x:c>
      <x:c r="I40" t="str">
        <x:v>2025-04-02</x:v>
      </x:c>
      <x:c r="J40" t="str">
        <x:v>Late Risk</x:v>
      </x:c>
    </x:row>
    <x:row r="41">
      <x:c r="A41" t="str">
        <x:v>P1003-PO006</x:v>
      </x:c>
      <x:c r="B41" t="str">
        <x:v>P1003</x:v>
      </x:c>
      <x:c r="C41" t="str">
        <x:v>P1003-T06</x:v>
      </x:c>
      <x:c r="D41" t="str">
        <x:v>Apex Mechanical</x:v>
      </x:c>
      <x:c r="E41" t="str">
        <x:v>Structural</x:v>
      </x:c>
      <x:c r="F41" t="n">
        <x:v>66203.17</x:v>
      </x:c>
      <x:c r="G41" t="n">
        <x:v>65732.74</x:v>
      </x:c>
      <x:c r="H41" t="str">
        <x:v>2025-02-01</x:v>
      </x:c>
      <x:c r="I41" t="str">
        <x:v>2025-02-09</x:v>
      </x:c>
      <x:c r="J41" t="str">
        <x:v>Late Risk</x:v>
      </x:c>
    </x:row>
    <x:row r="42">
      <x:c r="A42" t="str">
        <x:v>P1003-PO007</x:v>
      </x:c>
      <x:c r="B42" t="str">
        <x:v>P1003</x:v>
      </x:c>
      <x:c r="C42" t="str">
        <x:v>P1003-T07</x:v>
      </x:c>
      <x:c r="D42" t="str">
        <x:v>Valley Civil</x:v>
      </x:c>
      <x:c r="E42" t="str">
        <x:v>Structural</x:v>
      </x:c>
      <x:c r="F42" t="n">
        <x:v>131804.66</x:v>
      </x:c>
      <x:c r="G42" t="n">
        <x:v>120379.94</x:v>
      </x:c>
      <x:c r="H42" t="str">
        <x:v>2025-03-01</x:v>
      </x:c>
      <x:c r="I42" t="str">
        <x:v>2025-02-27</x:v>
      </x:c>
      <x:c r="J42" t="str">
        <x:v>On Track</x:v>
      </x:c>
    </x:row>
    <x:row r="43">
      <x:c r="A43" t="str">
        <x:v>P1003-PO008</x:v>
      </x:c>
      <x:c r="B43" t="str">
        <x:v>P1003</x:v>
      </x:c>
      <x:c r="C43" t="str">
        <x:v>P1003-T08</x:v>
      </x:c>
      <x:c r="D43" t="str">
        <x:v>Mesa Steel</x:v>
      </x:c>
      <x:c r="E43" t="str">
        <x:v>Structural</x:v>
      </x:c>
      <x:c r="F43" t="n">
        <x:v>137473.65</x:v>
      </x:c>
      <x:c r="G43" t="n">
        <x:v>134861.68</x:v>
      </x:c>
      <x:c r="H43" t="str">
        <x:v>2025-03-30</x:v>
      </x:c>
      <x:c r="I43" t="str">
        <x:v>2025-04-11</x:v>
      </x:c>
      <x:c r="J43" t="str">
        <x:v>Late Risk</x:v>
      </x:c>
    </x:row>
    <x:row r="44">
      <x:c r="A44" t="str">
        <x:v>P1003-PO011</x:v>
      </x:c>
      <x:c r="B44" t="str">
        <x:v>P1003</x:v>
      </x:c>
      <x:c r="C44" t="str">
        <x:v>P1003-T11</x:v>
      </x:c>
      <x:c r="D44" t="str">
        <x:v>Desert Safety Supply</x:v>
      </x:c>
      <x:c r="E44" t="str">
        <x:v>Mechanical</x:v>
      </x:c>
      <x:c r="F44" t="n">
        <x:v>115487.21</x:v>
      </x:c>
      <x:c r="G44" t="n">
        <x:v>109720.14</x:v>
      </x:c>
      <x:c r="H44" t="str">
        <x:v>2025-01-28</x:v>
      </x:c>
      <x:c r="I44" t="str">
        <x:v>2025-02-05</x:v>
      </x:c>
      <x:c r="J44" t="str">
        <x:v>Late Risk</x:v>
      </x:c>
    </x:row>
    <x:row r="45">
      <x:c r="A45" t="str">
        <x:v>P1003-PO012</x:v>
      </x:c>
      <x:c r="B45" t="str">
        <x:v>P1003</x:v>
      </x:c>
      <x:c r="C45" t="str">
        <x:v>P1003-T12</x:v>
      </x:c>
      <x:c r="D45" t="str">
        <x:v>Mesa Steel</x:v>
      </x:c>
      <x:c r="E45" t="str">
        <x:v>Mechanical</x:v>
      </x:c>
      <x:c r="F45" t="n">
        <x:v>114930.16</x:v>
      </x:c>
      <x:c r="G45" t="n">
        <x:v>101932.17</x:v>
      </x:c>
      <x:c r="H45" t="str">
        <x:v>2025-02-28</x:v>
      </x:c>
      <x:c r="I45" t="str">
        <x:v>2025-03-06</x:v>
      </x:c>
      <x:c r="J45" t="str">
        <x:v>Late Risk</x:v>
      </x:c>
    </x:row>
    <x:row r="46">
      <x:c r="A46" t="str">
        <x:v>P1003-PO013</x:v>
      </x:c>
      <x:c r="B46" t="str">
        <x:v>P1003</x:v>
      </x:c>
      <x:c r="C46" t="str">
        <x:v>P1003-T13</x:v>
      </x:c>
      <x:c r="D46" t="str">
        <x:v>Copperline Electric</x:v>
      </x:c>
      <x:c r="E46" t="str">
        <x:v>Mechanical</x:v>
      </x:c>
      <x:c r="F46" t="n">
        <x:v>116194.13</x:v>
      </x:c>
      <x:c r="G46" t="n">
        <x:v>101383.8</x:v>
      </x:c>
      <x:c r="H46" t="str">
        <x:v>2025-03-28</x:v>
      </x:c>
      <x:c r="I46" t="str">
        <x:v>2025-03-25</x:v>
      </x:c>
      <x:c r="J46" t="str">
        <x:v>On Track</x:v>
      </x:c>
    </x:row>
    <x:row r="47">
      <x:c r="A47" t="str">
        <x:v>P1003-PO016</x:v>
      </x:c>
      <x:c r="B47" t="str">
        <x:v>P1003</x:v>
      </x:c>
      <x:c r="C47" t="str">
        <x:v>P1003-T16</x:v>
      </x:c>
      <x:c r="D47" t="str">
        <x:v>Copperline Electric</x:v>
      </x:c>
      <x:c r="E47" t="str">
        <x:v>Electrical</x:v>
      </x:c>
      <x:c r="F47" t="n">
        <x:v>79878.88</x:v>
      </x:c>
      <x:c r="G47" t="n">
        <x:v>66752.77</x:v>
      </x:c>
      <x:c r="H47" t="str">
        <x:v>2025-02-02</x:v>
      </x:c>
      <x:c r="I47" t="str">
        <x:v>2025-02-08</x:v>
      </x:c>
      <x:c r="J47" t="str">
        <x:v>Late Risk</x:v>
      </x:c>
    </x:row>
    <x:row r="48">
      <x:c r="A48" t="str">
        <x:v>P1003-PO017</x:v>
      </x:c>
      <x:c r="B48" t="str">
        <x:v>P1003</x:v>
      </x:c>
      <x:c r="C48" t="str">
        <x:v>P1003-T17</x:v>
      </x:c>
      <x:c r="D48" t="str">
        <x:v>Sonoran Controls</x:v>
      </x:c>
      <x:c r="E48" t="str">
        <x:v>Electrical</x:v>
      </x:c>
      <x:c r="F48" t="n">
        <x:v>84109.49</x:v>
      </x:c>
      <x:c r="G48" t="n">
        <x:v>80394.25</x:v>
      </x:c>
      <x:c r="H48" t="str">
        <x:v>2025-03-04</x:v>
      </x:c>
      <x:c r="I48" t="str">
        <x:v>2025-03-12</x:v>
      </x:c>
      <x:c r="J48" t="str">
        <x:v>Late Risk</x:v>
      </x:c>
    </x:row>
    <x:row r="49">
      <x:c r="A49" t="str">
        <x:v>P1003-PO018</x:v>
      </x:c>
      <x:c r="B49" t="str">
        <x:v>P1003</x:v>
      </x:c>
      <x:c r="C49" t="str">
        <x:v>P1003-T18</x:v>
      </x:c>
      <x:c r="D49" t="str">
        <x:v>Sonoran Controls</x:v>
      </x:c>
      <x:c r="E49" t="str">
        <x:v>Electrical</x:v>
      </x:c>
      <x:c r="F49" t="n">
        <x:v>136886.5</x:v>
      </x:c>
      <x:c r="G49" t="n">
        <x:v>107001.02</x:v>
      </x:c>
      <x:c r="H49" t="str">
        <x:v>2025-03-26</x:v>
      </x:c>
      <x:c r="I49" t="str">
        <x:v>2025-03-24</x:v>
      </x:c>
      <x:c r="J49" t="str">
        <x:v>On Track</x:v>
      </x:c>
    </x:row>
    <x:row r="50">
      <x:c r="A50" t="str">
        <x:v>P1003-PO021</x:v>
      </x:c>
      <x:c r="B50" t="str">
        <x:v>P1003</x:v>
      </x:c>
      <x:c r="C50" t="str">
        <x:v>P1003-T21</x:v>
      </x:c>
      <x:c r="D50" t="str">
        <x:v>Desert Safety Supply</x:v>
      </x:c>
      <x:c r="E50" t="str">
        <x:v>Instrumentation</x:v>
      </x:c>
      <x:c r="F50" t="n">
        <x:v>150839.66</x:v>
      </x:c>
      <x:c r="G50" t="n">
        <x:v>158904.13</x:v>
      </x:c>
      <x:c r="H50" t="str">
        <x:v>2025-01-31</x:v>
      </x:c>
      <x:c r="I50" t="str">
        <x:v>2025-02-03</x:v>
      </x:c>
      <x:c r="J50" t="str">
        <x:v>Late Risk</x:v>
      </x:c>
    </x:row>
    <x:row r="51">
      <x:c r="A51" t="str">
        <x:v>P1003-PO022</x:v>
      </x:c>
      <x:c r="B51" t="str">
        <x:v>P1003</x:v>
      </x:c>
      <x:c r="C51" t="str">
        <x:v>P1003-T22</x:v>
      </x:c>
      <x:c r="D51" t="str">
        <x:v>Mesa Steel</x:v>
      </x:c>
      <x:c r="E51" t="str">
        <x:v>Instrumentation</x:v>
      </x:c>
      <x:c r="F51" t="n">
        <x:v>76117.23</x:v>
      </x:c>
      <x:c r="G51" t="n">
        <x:v>69170.01</x:v>
      </x:c>
      <x:c r="H51" t="str">
        <x:v>2025-03-05</x:v>
      </x:c>
      <x:c r="I51" t="str">
        <x:v>2025-03-02</x:v>
      </x:c>
      <x:c r="J51" t="str">
        <x:v>On Track</x:v>
      </x:c>
    </x:row>
    <x:row r="52">
      <x:c r="A52" t="str">
        <x:v>P1003-PO023</x:v>
      </x:c>
      <x:c r="B52" t="str">
        <x:v>P1003</x:v>
      </x:c>
      <x:c r="C52" t="str">
        <x:v>P1003-T23</x:v>
      </x:c>
      <x:c r="D52" t="str">
        <x:v>Sonoran Controls</x:v>
      </x:c>
      <x:c r="E52" t="str">
        <x:v>Instrumentation</x:v>
      </x:c>
      <x:c r="F52" t="n">
        <x:v>74328.95</x:v>
      </x:c>
      <x:c r="G52" t="n">
        <x:v>77530.66</x:v>
      </x:c>
      <x:c r="H52" t="str">
        <x:v>2025-04-05</x:v>
      </x:c>
      <x:c r="I52" t="str">
        <x:v>2025-04-07</x:v>
      </x:c>
      <x:c r="J52" t="str">
        <x:v>Late Risk</x:v>
      </x:c>
    </x:row>
    <x:row r="53">
      <x:c r="A53" t="str">
        <x:v>P1003-PO026</x:v>
      </x:c>
      <x:c r="B53" t="str">
        <x:v>P1003</x:v>
      </x:c>
      <x:c r="C53" t="str">
        <x:v>P1003-T26</x:v>
      </x:c>
      <x:c r="D53" t="str">
        <x:v>Mesa Steel</x:v>
      </x:c>
      <x:c r="E53" t="str">
        <x:v>Commissioning</x:v>
      </x:c>
      <x:c r="F53" t="n">
        <x:v>112480.92</x:v>
      </x:c>
      <x:c r="G53" t="n">
        <x:v>94845.18</x:v>
      </x:c>
      <x:c r="H53" t="str">
        <x:v>2025-02-02</x:v>
      </x:c>
      <x:c r="I53" t="str">
        <x:v>2025-01-31</x:v>
      </x:c>
      <x:c r="J53" t="str">
        <x:v>On Track</x:v>
      </x:c>
    </x:row>
    <x:row r="54">
      <x:c r="A54" t="str">
        <x:v>P1003-PO027</x:v>
      </x:c>
      <x:c r="B54" t="str">
        <x:v>P1003</x:v>
      </x:c>
      <x:c r="C54" t="str">
        <x:v>P1003-T27</x:v>
      </x:c>
      <x:c r="D54" t="str">
        <x:v>Sonoran Controls</x:v>
      </x:c>
      <x:c r="E54" t="str">
        <x:v>Commissioning</x:v>
      </x:c>
      <x:c r="F54" t="n">
        <x:v>80775.52</x:v>
      </x:c>
      <x:c r="G54" t="n">
        <x:v>87378.48</x:v>
      </x:c>
      <x:c r="H54" t="str">
        <x:v>2025-03-02</x:v>
      </x:c>
      <x:c r="I54" t="str">
        <x:v>2025-02-28</x:v>
      </x:c>
      <x:c r="J54" t="str">
        <x:v>On Track</x:v>
      </x:c>
    </x:row>
    <x:row r="55">
      <x:c r="A55" t="str">
        <x:v>P1003-PO028</x:v>
      </x:c>
      <x:c r="B55" t="str">
        <x:v>P1003</x:v>
      </x:c>
      <x:c r="C55" t="str">
        <x:v>P1003-T28</x:v>
      </x:c>
      <x:c r="D55" t="str">
        <x:v>Desert Safety Supply</x:v>
      </x:c>
      <x:c r="E55" t="str">
        <x:v>Commissioning</x:v>
      </x:c>
      <x:c r="F55" t="n">
        <x:v>71210.13</x:v>
      </x:c>
      <x:c r="G55" t="n">
        <x:v>65067.7</x:v>
      </x:c>
      <x:c r="H55" t="str">
        <x:v>2025-04-05</x:v>
      </x:c>
      <x:c r="I55" t="str">
        <x:v>2025-04-04</x:v>
      </x:c>
      <x:c r="J55" t="str">
        <x:v>On Track</x:v>
      </x:c>
    </x:row>
    <x:row r="56">
      <x:c r="A56" t="str">
        <x:v>P1004-PO001</x:v>
      </x:c>
      <x:c r="B56" t="str">
        <x:v>P1004</x:v>
      </x:c>
      <x:c r="C56" t="str">
        <x:v>P1004-T01</x:v>
      </x:c>
      <x:c r="D56" t="str">
        <x:v>Valley Civil</x:v>
      </x:c>
      <x:c r="E56" t="str">
        <x:v>Civil</x:v>
      </x:c>
      <x:c r="F56" t="n">
        <x:v>118730.52</x:v>
      </x:c>
      <x:c r="G56" t="n">
        <x:v>89095.14</x:v>
      </x:c>
      <x:c r="H56" t="str">
        <x:v>2025-03-22</x:v>
      </x:c>
      <x:c r="I56" t="str">
        <x:v>2025-04-06</x:v>
      </x:c>
      <x:c r="J56" t="str">
        <x:v>Late Risk</x:v>
      </x:c>
    </x:row>
    <x:row r="57">
      <x:c r="A57" t="str">
        <x:v>P1004-PO002</x:v>
      </x:c>
      <x:c r="B57" t="str">
        <x:v>P1004</x:v>
      </x:c>
      <x:c r="C57" t="str">
        <x:v>P1004-T02</x:v>
      </x:c>
      <x:c r="D57" t="str">
        <x:v>Valley Civil</x:v>
      </x:c>
      <x:c r="E57" t="str">
        <x:v>Civil</x:v>
      </x:c>
      <x:c r="F57" t="n">
        <x:v>112833.41</x:v>
      </x:c>
      <x:c r="G57" t="n">
        <x:v>85333.04</x:v>
      </x:c>
      <x:c r="H57" t="str">
        <x:v>2025-04-16</x:v>
      </x:c>
      <x:c r="I57" t="str">
        <x:v>2025-04-24</x:v>
      </x:c>
      <x:c r="J57" t="str">
        <x:v>Late Risk</x:v>
      </x:c>
    </x:row>
    <x:row r="58">
      <x:c r="A58" t="str">
        <x:v>P1004-PO003</x:v>
      </x:c>
      <x:c r="B58" t="str">
        <x:v>P1004</x:v>
      </x:c>
      <x:c r="C58" t="str">
        <x:v>P1004-T03</x:v>
      </x:c>
      <x:c r="D58" t="str">
        <x:v>Desert Safety Supply</x:v>
      </x:c>
      <x:c r="E58" t="str">
        <x:v>Civil</x:v>
      </x:c>
      <x:c r="F58" t="n">
        <x:v>105254.02</x:v>
      </x:c>
      <x:c r="G58" t="n">
        <x:v>90099.32</x:v>
      </x:c>
      <x:c r="H58" t="str">
        <x:v>2025-05-11</x:v>
      </x:c>
      <x:c r="I58" t="str">
        <x:v>2025-05-12</x:v>
      </x:c>
      <x:c r="J58" t="str">
        <x:v>Late Risk</x:v>
      </x:c>
    </x:row>
    <x:row r="59">
      <x:c r="A59" t="str">
        <x:v>P1004-PO006</x:v>
      </x:c>
      <x:c r="B59" t="str">
        <x:v>P1004</x:v>
      </x:c>
      <x:c r="C59" t="str">
        <x:v>P1004-T06</x:v>
      </x:c>
      <x:c r="D59" t="str">
        <x:v>Desert Safety Supply</x:v>
      </x:c>
      <x:c r="E59" t="str">
        <x:v>Structural</x:v>
      </x:c>
      <x:c r="F59" t="n">
        <x:v>77603.66</x:v>
      </x:c>
      <x:c r="G59" t="n">
        <x:v>64301.38</x:v>
      </x:c>
      <x:c r="H59" t="str">
        <x:v>2025-03-11</x:v>
      </x:c>
      <x:c r="I59" t="str">
        <x:v>2025-03-12</x:v>
      </x:c>
      <x:c r="J59" t="str">
        <x:v>Late Risk</x:v>
      </x:c>
    </x:row>
    <x:row r="60">
      <x:c r="A60" t="str">
        <x:v>P1004-PO007</x:v>
      </x:c>
      <x:c r="B60" t="str">
        <x:v>P1004</x:v>
      </x:c>
      <x:c r="C60" t="str">
        <x:v>P1004-T07</x:v>
      </x:c>
      <x:c r="D60" t="str">
        <x:v>Desert Safety Supply</x:v>
      </x:c>
      <x:c r="E60" t="str">
        <x:v>Structural</x:v>
      </x:c>
      <x:c r="F60" t="n">
        <x:v>97838.61</x:v>
      </x:c>
      <x:c r="G60" t="n">
        <x:v>85897.89</x:v>
      </x:c>
      <x:c r="H60" t="str">
        <x:v>2025-04-13</x:v>
      </x:c>
      <x:c r="I60" t="str">
        <x:v>2025-04-18</x:v>
      </x:c>
      <x:c r="J60" t="str">
        <x:v>Late Risk</x:v>
      </x:c>
    </x:row>
    <x:row r="61">
      <x:c r="A61" t="str">
        <x:v>P1004-PO008</x:v>
      </x:c>
      <x:c r="B61" t="str">
        <x:v>P1004</x:v>
      </x:c>
      <x:c r="C61" t="str">
        <x:v>P1004-T08</x:v>
      </x:c>
      <x:c r="D61" t="str">
        <x:v>Desert Safety Supply</x:v>
      </x:c>
      <x:c r="E61" t="str">
        <x:v>Structural</x:v>
      </x:c>
      <x:c r="F61" t="n">
        <x:v>148922.13</x:v>
      </x:c>
      <x:c r="G61" t="n">
        <x:v>113658.17</x:v>
      </x:c>
      <x:c r="H61" t="str">
        <x:v>2025-05-10</x:v>
      </x:c>
      <x:c r="I61" t="str">
        <x:v>2025-05-11</x:v>
      </x:c>
      <x:c r="J61" t="str">
        <x:v>Late Risk</x:v>
      </x:c>
    </x:row>
    <x:row r="62">
      <x:c r="A62" t="str">
        <x:v>P1004-PO011</x:v>
      </x:c>
      <x:c r="B62" t="str">
        <x:v>P1004</x:v>
      </x:c>
      <x:c r="C62" t="str">
        <x:v>P1004-T11</x:v>
      </x:c>
      <x:c r="D62" t="str">
        <x:v>Desert Safety Supply</x:v>
      </x:c>
      <x:c r="E62" t="str">
        <x:v>Mechanical</x:v>
      </x:c>
      <x:c r="F62" t="n">
        <x:v>52445.21</x:v>
      </x:c>
      <x:c r="G62" t="n">
        <x:v>44681.6</x:v>
      </x:c>
      <x:c r="H62" t="str">
        <x:v>2025-03-16</x:v>
      </x:c>
      <x:c r="I62" t="str">
        <x:v>2025-03-21</x:v>
      </x:c>
      <x:c r="J62" t="str">
        <x:v>Late Risk</x:v>
      </x:c>
    </x:row>
    <x:row r="63">
      <x:c r="A63" t="str">
        <x:v>P1004-PO012</x:v>
      </x:c>
      <x:c r="B63" t="str">
        <x:v>P1004</x:v>
      </x:c>
      <x:c r="C63" t="str">
        <x:v>P1004-T12</x:v>
      </x:c>
      <x:c r="D63" t="str">
        <x:v>Desert Safety Supply</x:v>
      </x:c>
      <x:c r="E63" t="str">
        <x:v>Mechanical</x:v>
      </x:c>
      <x:c r="F63" t="n">
        <x:v>65609.84</x:v>
      </x:c>
      <x:c r="G63" t="n">
        <x:v>69136.9</x:v>
      </x:c>
      <x:c r="H63" t="str">
        <x:v>2025-04-17</x:v>
      </x:c>
      <x:c r="I63" t="str">
        <x:v>2025-04-19</x:v>
      </x:c>
      <x:c r="J63" t="str">
        <x:v>Late Risk</x:v>
      </x:c>
    </x:row>
    <x:row r="64">
      <x:c r="A64" t="str">
        <x:v>P1004-PO013</x:v>
      </x:c>
      <x:c r="B64" t="str">
        <x:v>P1004</x:v>
      </x:c>
      <x:c r="C64" t="str">
        <x:v>P1004-T13</x:v>
      </x:c>
      <x:c r="D64" t="str">
        <x:v>Valley Civil</x:v>
      </x:c>
      <x:c r="E64" t="str">
        <x:v>Mechanical</x:v>
      </x:c>
      <x:c r="F64" t="n">
        <x:v>114341.59</x:v>
      </x:c>
      <x:c r="G64" t="n">
        <x:v>91261.36</x:v>
      </x:c>
      <x:c r="H64" t="str">
        <x:v>2025-05-14</x:v>
      </x:c>
      <x:c r="I64" t="str">
        <x:v>2025-05-23</x:v>
      </x:c>
      <x:c r="J64" t="str">
        <x:v>Late Risk</x:v>
      </x:c>
    </x:row>
    <x:row r="65">
      <x:c r="A65" t="str">
        <x:v>P1004-PO016</x:v>
      </x:c>
      <x:c r="B65" t="str">
        <x:v>P1004</x:v>
      </x:c>
      <x:c r="C65" t="str">
        <x:v>P1004-T16</x:v>
      </x:c>
      <x:c r="D65" t="str">
        <x:v>Mesa Steel</x:v>
      </x:c>
      <x:c r="E65" t="str">
        <x:v>Electrical</x:v>
      </x:c>
      <x:c r="F65" t="n">
        <x:v>205759.39</x:v>
      </x:c>
      <x:c r="G65" t="n">
        <x:v>164812.21</x:v>
      </x:c>
      <x:c r="H65" t="str">
        <x:v>2025-03-22</x:v>
      </x:c>
      <x:c r="I65" t="str">
        <x:v>2025-04-02</x:v>
      </x:c>
      <x:c r="J65" t="str">
        <x:v>Late Risk</x:v>
      </x:c>
    </x:row>
    <x:row r="66">
      <x:c r="A66" t="str">
        <x:v>P1004-PO017</x:v>
      </x:c>
      <x:c r="B66" t="str">
        <x:v>P1004</x:v>
      </x:c>
      <x:c r="C66" t="str">
        <x:v>P1004-T17</x:v>
      </x:c>
      <x:c r="D66" t="str">
        <x:v>Copperline Electric</x:v>
      </x:c>
      <x:c r="E66" t="str">
        <x:v>Electrical</x:v>
      </x:c>
      <x:c r="F66" t="n">
        <x:v>69330.68</x:v>
      </x:c>
      <x:c r="G66" t="n">
        <x:v>62298</x:v>
      </x:c>
      <x:c r="H66" t="str">
        <x:v>2025-04-14</x:v>
      </x:c>
      <x:c r="I66" t="str">
        <x:v>2025-04-27</x:v>
      </x:c>
      <x:c r="J66" t="str">
        <x:v>Late Risk</x:v>
      </x:c>
    </x:row>
    <x:row r="67">
      <x:c r="A67" t="str">
        <x:v>P1004-PO018</x:v>
      </x:c>
      <x:c r="B67" t="str">
        <x:v>P1004</x:v>
      </x:c>
      <x:c r="C67" t="str">
        <x:v>P1004-T18</x:v>
      </x:c>
      <x:c r="D67" t="str">
        <x:v>Sonoran Controls</x:v>
      </x:c>
      <x:c r="E67" t="str">
        <x:v>Electrical</x:v>
      </x:c>
      <x:c r="F67" t="n">
        <x:v>108592.38</x:v>
      </x:c>
      <x:c r="G67" t="n">
        <x:v>101891.26</x:v>
      </x:c>
      <x:c r="H67" t="str">
        <x:v>2025-05-17</x:v>
      </x:c>
      <x:c r="I67" t="str">
        <x:v>2025-05-18</x:v>
      </x:c>
      <x:c r="J67" t="str">
        <x:v>Late Risk</x:v>
      </x:c>
    </x:row>
    <x:row r="68">
      <x:c r="A68" t="str">
        <x:v>P1004-PO021</x:v>
      </x:c>
      <x:c r="B68" t="str">
        <x:v>P1004</x:v>
      </x:c>
      <x:c r="C68" t="str">
        <x:v>P1004-T21</x:v>
      </x:c>
      <x:c r="D68" t="str">
        <x:v>Copperline Electric</x:v>
      </x:c>
      <x:c r="E68" t="str">
        <x:v>Instrumentation</x:v>
      </x:c>
      <x:c r="F68" t="n">
        <x:v>78167.49</x:v>
      </x:c>
      <x:c r="G68" t="n">
        <x:v>84079.24</x:v>
      </x:c>
      <x:c r="H68" t="str">
        <x:v>2025-03-15</x:v>
      </x:c>
      <x:c r="I68" t="str">
        <x:v>2025-03-22</x:v>
      </x:c>
      <x:c r="J68" t="str">
        <x:v>Late Risk</x:v>
      </x:c>
    </x:row>
    <x:row r="69">
      <x:c r="A69" t="str">
        <x:v>P1004-PO022</x:v>
      </x:c>
      <x:c r="B69" t="str">
        <x:v>P1004</x:v>
      </x:c>
      <x:c r="C69" t="str">
        <x:v>P1004-T22</x:v>
      </x:c>
      <x:c r="D69" t="str">
        <x:v>Apex Mechanical</x:v>
      </x:c>
      <x:c r="E69" t="str">
        <x:v>Instrumentation</x:v>
      </x:c>
      <x:c r="F69" t="n">
        <x:v>113969.44</x:v>
      </x:c>
      <x:c r="G69" t="n">
        <x:v>115295.59</x:v>
      </x:c>
      <x:c r="H69" t="str">
        <x:v>2025-04-18</x:v>
      </x:c>
      <x:c r="I69" t="str">
        <x:v>2025-04-18</x:v>
      </x:c>
      <x:c r="J69" t="str">
        <x:v>On Track</x:v>
      </x:c>
    </x:row>
    <x:row r="70">
      <x:c r="A70" t="str">
        <x:v>P1004-PO023</x:v>
      </x:c>
      <x:c r="B70" t="str">
        <x:v>P1004</x:v>
      </x:c>
      <x:c r="C70" t="str">
        <x:v>P1004-T23</x:v>
      </x:c>
      <x:c r="D70" t="str">
        <x:v>Copperline Electric</x:v>
      </x:c>
      <x:c r="E70" t="str">
        <x:v>Instrumentation</x:v>
      </x:c>
      <x:c r="F70" t="n">
        <x:v>110444.45</x:v>
      </x:c>
      <x:c r="G70" t="n">
        <x:v>97833.5</x:v>
      </x:c>
      <x:c r="H70" t="str">
        <x:v>2025-05-09</x:v>
      </x:c>
      <x:c r="I70" t="str">
        <x:v>2025-05-17</x:v>
      </x:c>
      <x:c r="J70" t="str">
        <x:v>Late Risk</x:v>
      </x:c>
    </x:row>
    <x:row r="71">
      <x:c r="A71" t="str">
        <x:v>P1004-PO026</x:v>
      </x:c>
      <x:c r="B71" t="str">
        <x:v>P1004</x:v>
      </x:c>
      <x:c r="C71" t="str">
        <x:v>P1004-T26</x:v>
      </x:c>
      <x:c r="D71" t="str">
        <x:v>Copperline Electric</x:v>
      </x:c>
      <x:c r="E71" t="str">
        <x:v>Commissioning</x:v>
      </x:c>
      <x:c r="F71" t="n">
        <x:v>72820.21</x:v>
      </x:c>
      <x:c r="G71" t="n">
        <x:v>64707.53</x:v>
      </x:c>
      <x:c r="H71" t="str">
        <x:v>2025-03-14</x:v>
      </x:c>
      <x:c r="I71" t="str">
        <x:v>2025-03-29</x:v>
      </x:c>
      <x:c r="J71" t="str">
        <x:v>Late Risk</x:v>
      </x:c>
    </x:row>
    <x:row r="72">
      <x:c r="A72" t="str">
        <x:v>P1004-PO027</x:v>
      </x:c>
      <x:c r="B72" t="str">
        <x:v>P1004</x:v>
      </x:c>
      <x:c r="C72" t="str">
        <x:v>P1004-T27</x:v>
      </x:c>
      <x:c r="D72" t="str">
        <x:v>Mesa Steel</x:v>
      </x:c>
      <x:c r="E72" t="str">
        <x:v>Commissioning</x:v>
      </x:c>
      <x:c r="F72" t="n">
        <x:v>84477.34</x:v>
      </x:c>
      <x:c r="G72" t="n">
        <x:v>72187.21</x:v>
      </x:c>
      <x:c r="H72" t="str">
        <x:v>2025-04-13</x:v>
      </x:c>
      <x:c r="I72" t="str">
        <x:v>2025-04-17</x:v>
      </x:c>
      <x:c r="J72" t="str">
        <x:v>Late Risk</x:v>
      </x:c>
    </x:row>
    <x:row r="73">
      <x:c r="A73" t="str">
        <x:v>P1004-PO028</x:v>
      </x:c>
      <x:c r="B73" t="str">
        <x:v>P1004</x:v>
      </x:c>
      <x:c r="C73" t="str">
        <x:v>P1004-T28</x:v>
      </x:c>
      <x:c r="D73" t="str">
        <x:v>Desert Safety Supply</x:v>
      </x:c>
      <x:c r="E73" t="str">
        <x:v>Commissioning</x:v>
      </x:c>
      <x:c r="F73" t="n">
        <x:v>159677.53</x:v>
      </x:c>
      <x:c r="G73" t="n">
        <x:v>172890.93</x:v>
      </x:c>
      <x:c r="H73" t="str">
        <x:v>2025-05-08</x:v>
      </x:c>
      <x:c r="I73" t="str">
        <x:v>2025-05-15</x:v>
      </x:c>
      <x:c r="J73" t="str">
        <x:v>Late Risk</x:v>
      </x:c>
    </x:row>
  </x:sheetData>
  <x:pageMargins left="0.7" right="0.7" top="0.75" bottom="0.75" header="0.3" footer="0.3"/>
  <x:tableParts count="1">
    <x:tablePart xmlns:r="http://schemas.openxmlformats.org/officeDocument/2006/relationships" r:id="Ra67e57762dee438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8.75" hidden="0" customWidth="1"/>
    <x:col min="3" max="3" width="28.75" hidden="0" customWidth="1"/>
  </x:cols>
  <x:sheetData>
    <x:row r="1">
      <x:c r="A1" s="2" t="str">
        <x:v>SQL Topic</x:v>
      </x:c>
      <x:c r="B1" s="2" t="str">
        <x:v>Practice Query Goal</x:v>
      </x:c>
      <x:c r="C1" s="2" t="str">
        <x:v>Why It Matters For This Role</x:v>
      </x:c>
    </x:row>
    <x:row r="2">
      <x:c r="A2" t="str">
        <x:v>SELECT and WHERE</x:v>
      </x:c>
      <x:c r="B2" t="str">
        <x:v>Filter delayed schedule tasks</x:v>
      </x:c>
      <x:c r="C2" t="str">
        <x:v>Find work packages needing attention</x:v>
      </x:c>
    </x:row>
    <x:row r="3">
      <x:c r="A3" t="str">
        <x:v>GROUP BY</x:v>
      </x:c>
      <x:c r="B3" t="str">
        <x:v>Summarize cost by project and discipline</x:v>
      </x:c>
      <x:c r="C3" t="str">
        <x:v>Build project status indicators</x:v>
      </x:c>
    </x:row>
    <x:row r="4">
      <x:c r="A4" t="str">
        <x:v>JOIN</x:v>
      </x:c>
      <x:c r="B4" t="str">
        <x:v>Combine projects, cost, and schedule tables</x:v>
      </x:c>
      <x:c r="C4" t="str">
        <x:v>Create integrated reporting</x:v>
      </x:c>
    </x:row>
    <x:row r="5">
      <x:c r="A5" t="str">
        <x:v>CASE</x:v>
      </x:c>
      <x:c r="B5" t="str">
        <x:v>Create risk flags</x:v>
      </x:c>
      <x:c r="C5" t="str">
        <x:v>Turn raw data into action labels</x:v>
      </x:c>
    </x:row>
    <x:row r="6">
      <x:c r="A6" t="str">
        <x:v>Views</x:v>
      </x:c>
      <x:c r="B6" t="str">
        <x:v>Save a project status report query</x:v>
      </x:c>
      <x:c r="C6" t="str">
        <x:v>Create reusable reporting logic</x:v>
      </x:c>
    </x:row>
    <x:row r="7">
      <x:c r="A7" t="str">
        <x:v>Export</x:v>
      </x:c>
      <x:c r="B7" t="str">
        <x:v>Send SQL result to Excel or Power BI</x:v>
      </x:c>
      <x:c r="C7" t="str">
        <x:v>Connect analysis to business users</x:v>
      </x:c>
    </x:row>
  </x:sheetData>
  <x:pageMargins left="0.7" right="0.7" top="0.75" bottom="0.75" header="0.3" footer="0.3"/>
</x:worksheet>
</file>